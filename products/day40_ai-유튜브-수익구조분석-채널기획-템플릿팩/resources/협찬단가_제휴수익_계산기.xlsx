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명&quot;"/>
    <numFmt numFmtId="165" formatCode="#,##0&quot;회&quot;"/>
    <numFmt numFmtId="166" formatCode="0.0&quot;%&quot;"/>
    <numFmt numFmtId="167" formatCode="#,##0&quot;원&quot;"/>
    <numFmt numFmtId="168" formatCode="0.00&quot;배&quot;"/>
    <numFmt numFmtId="169" formatCode="0.0&quot;배&quot;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2" borderId="0" pivotButton="0" quotePrefix="0" xfId="0"/>
    <xf numFmtId="165" fontId="3" fillId="2" borderId="0" pivotButton="0" quotePrefix="0" xfId="0"/>
    <xf numFmtId="166" fontId="3" fillId="2" borderId="0" pivotButton="0" quotePrefix="0" xfId="0"/>
    <xf numFmtId="167" fontId="3" fillId="2" borderId="0" pivotButton="0" quotePrefix="0" xfId="0"/>
    <xf numFmtId="168" fontId="2" fillId="3" borderId="0" pivotButton="0" quotePrefix="0" xfId="0"/>
    <xf numFmtId="0" fontId="5" fillId="4" borderId="0" pivotButton="0" quotePrefix="0" xfId="0"/>
    <xf numFmtId="169" fontId="3" fillId="2" borderId="0" pivotButton="0" quotePrefix="0" xfId="0"/>
    <xf numFmtId="167" fontId="2" fillId="3" borderId="0" pivotButton="0" quotePrefix="0" xfId="0"/>
    <xf numFmtId="0" fontId="3" fillId="2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협찬 단가·제휴마케팅 수익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구독자·평균 조회수를 입력하면 브랜드 협찬 단가 참고값과 제휴마케팅 예상 수익을 계산해보는 참고용 도구입니다.</t>
        </is>
      </c>
    </row>
    <row r="6">
      <c r="B6" s="3" t="inlineStr">
        <is>
          <t>협찬 단가·제휴 수수료율은 니치·플랫폼 정책에 따라 계속 바뀝니다. 계산 구조와 협상 기준으로만 활용하고, 실제 단가는 최신 업계 시세로 재확인하세요. (기준: 2026년 9월 확인)</t>
        </is>
      </c>
    </row>
    <row r="8">
      <c r="B8" s="2" t="inlineStr">
        <is>
          <t>사용법</t>
        </is>
      </c>
    </row>
    <row r="9">
      <c r="B9" s="3" t="inlineStr">
        <is>
          <t>① '계산기' 시트 노란색 칸에 구독자 수·평균 조회수·참여율·기준 단가(원/1,000뷰)를 입력</t>
        </is>
      </c>
    </row>
    <row r="10">
      <c r="B10" s="3" t="inlineStr">
        <is>
          <t>② 올리브색 칸에서 영상 유형별(언급형/전용리뷰형/브랜드콜라보형) 협찬 단가 참고값 확인</t>
        </is>
      </c>
    </row>
    <row r="11">
      <c r="B11" s="3" t="inlineStr">
        <is>
          <t>③ 하단 제휴마케팅 섹션에 링크 클릭률·구매전환율·평균 수수료를 입력해 월 예상 제휴수익 확인</t>
        </is>
      </c>
    </row>
    <row r="12">
      <c r="B12" s="3" t="inlineStr">
        <is>
          <t>④ 협찬 단가는 조회수만이 아니라 참여율·시청자 충성도도 반영해 협상하도록 상담 시 안내</t>
        </is>
      </c>
    </row>
    <row r="14">
      <c r="B14" s="4" t="inlineStr">
        <is>
          <t>협찬·제휴 수익은 채널 성장 단계(0~1천/1천~1만/1만 이상)에 따라 도입 시점이 다릅니다. 계산기 하단 로드맵 표를 함께 참고하세요.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30" customWidth="1" min="5" max="5"/>
  </cols>
  <sheetData>
    <row r="1">
      <c r="A1" s="1" t="inlineStr">
        <is>
          <t>협찬 단가·제휴마케팅 수익 계산기</t>
        </is>
      </c>
    </row>
    <row r="3">
      <c r="A3" s="2" t="inlineStr">
        <is>
          <t>① 채널 기본 정보 입력</t>
        </is>
      </c>
    </row>
    <row r="4">
      <c r="A4" s="3" t="inlineStr">
        <is>
          <t>구독자 수</t>
        </is>
      </c>
      <c r="B4" s="5" t="n">
        <v>5000</v>
      </c>
    </row>
    <row r="5">
      <c r="A5" s="3" t="inlineStr">
        <is>
          <t>영상당 평균 조회수</t>
        </is>
      </c>
      <c r="B5" s="6" t="n">
        <v>4000</v>
      </c>
    </row>
    <row r="6">
      <c r="A6" s="3" t="inlineStr">
        <is>
          <t>평균 참여율(좋아요+댓글/조회수, %)</t>
        </is>
      </c>
      <c r="B6" s="7" t="n">
        <v>4</v>
      </c>
    </row>
    <row r="7">
      <c r="A7" s="3" t="inlineStr">
        <is>
          <t>기준 단가(원/1,000뷰, 언급형 기준)</t>
        </is>
      </c>
      <c r="B7" s="8" t="n">
        <v>15000</v>
      </c>
      <c r="C7" s="4" t="inlineStr">
        <is>
          <t>AI에게 '[니치] 채널 협찬 단가 책정 방식'을 물어봐서 얻은 참고 시세를 입력하세요.</t>
        </is>
      </c>
    </row>
    <row r="9">
      <c r="A9" s="2" t="inlineStr">
        <is>
          <t>② 참여율 보정</t>
        </is>
      </c>
    </row>
    <row r="10">
      <c r="A10" s="3" t="inlineStr">
        <is>
          <t>참여율 보정 배율</t>
        </is>
      </c>
      <c r="B10" s="9">
        <f>IF(B6&gt;=6,1.3,IF(B6&gt;=4,1.15,IF(B6&gt;=2,1,0.85)))</f>
        <v/>
      </c>
      <c r="C10" s="4" t="inlineStr">
        <is>
          <t>참여율 6%↑ 1.3배 / 4%↑ 1.15배 / 2%↑ 1배 / 그 미만 0.85배로 단순 보정한 참고 기준입니다.</t>
        </is>
      </c>
    </row>
    <row r="12">
      <c r="A12" s="2" t="inlineStr">
        <is>
          <t>③ 영상 유형별 협찬 단가 참고표</t>
        </is>
      </c>
    </row>
    <row r="13">
      <c r="A13" s="10" t="inlineStr">
        <is>
          <t>영상 유형</t>
        </is>
      </c>
      <c r="B13" s="10" t="inlineStr">
        <is>
          <t>배율</t>
        </is>
      </c>
      <c r="C13" s="10" t="inlineStr">
        <is>
          <t>기본 단가</t>
        </is>
      </c>
      <c r="D13" s="10" t="inlineStr">
        <is>
          <t>참여율 보정 단가</t>
        </is>
      </c>
    </row>
    <row r="14">
      <c r="A14" s="3" t="inlineStr">
        <is>
          <t>언급형(중간 삽입 광고)</t>
        </is>
      </c>
      <c r="B14" s="11" t="n">
        <v>1</v>
      </c>
      <c r="C14" s="12">
        <f>$B$5*$B$7/1000*B14</f>
        <v/>
      </c>
      <c r="D14" s="12">
        <f>C14*$B$10</f>
        <v/>
      </c>
    </row>
    <row r="15">
      <c r="A15" s="3" t="inlineStr">
        <is>
          <t>전용 리뷰형(영상 전체)</t>
        </is>
      </c>
      <c r="B15" s="11" t="n">
        <v>1.6</v>
      </c>
      <c r="C15" s="12">
        <f>$B$5*$B$7/1000*B15</f>
        <v/>
      </c>
      <c r="D15" s="12">
        <f>C15*$B$10</f>
        <v/>
      </c>
    </row>
    <row r="16">
      <c r="A16" s="3" t="inlineStr">
        <is>
          <t>브랜드 콜라보 기획형</t>
        </is>
      </c>
      <c r="B16" s="11" t="n">
        <v>2.4</v>
      </c>
      <c r="C16" s="12">
        <f>$B$5*$B$7/1000*B16</f>
        <v/>
      </c>
      <c r="D16" s="12">
        <f>C16*$B$10</f>
        <v/>
      </c>
    </row>
    <row r="18">
      <c r="A18" s="2" t="inlineStr">
        <is>
          <t>④ 제휴마케팅(쿠팡파트너스 등) 예상 수익</t>
        </is>
      </c>
    </row>
    <row r="19">
      <c r="A19" s="3" t="inlineStr">
        <is>
          <t>월 관련 영상 편수</t>
        </is>
      </c>
      <c r="B19" s="13" t="n">
        <v>4</v>
      </c>
    </row>
    <row r="20">
      <c r="A20" s="3" t="inlineStr">
        <is>
          <t>영상당 평균 조회수</t>
        </is>
      </c>
      <c r="B20" s="14">
        <f>B5</f>
        <v/>
      </c>
    </row>
    <row r="21">
      <c r="A21" s="3" t="inlineStr">
        <is>
          <t>링크 클릭률(%)</t>
        </is>
      </c>
      <c r="B21" s="7" t="n">
        <v>3</v>
      </c>
    </row>
    <row r="22">
      <c r="A22" s="3" t="inlineStr">
        <is>
          <t>구매 전환율(클릭 대비, %)</t>
        </is>
      </c>
      <c r="B22" s="7" t="n">
        <v>5</v>
      </c>
    </row>
    <row r="23">
      <c r="A23" s="3" t="inlineStr">
        <is>
          <t>건당 평균 수수료(원)</t>
        </is>
      </c>
      <c r="B23" s="8" t="n">
        <v>3000</v>
      </c>
    </row>
    <row r="25">
      <c r="A25" s="3" t="inlineStr">
        <is>
          <t>월 예상 제휴마케팅 수익</t>
        </is>
      </c>
      <c r="B25" s="12">
        <f>B19*B20*B21/100*B22/100*B23</f>
        <v/>
      </c>
      <c r="C25" s="4" t="inlineStr">
        <is>
          <t>팔로워 수보다 '구매 전환이 되는 니치'인지가 더 중요합니다. 실제 클릭률·전환율은 링크 게시 후 실측치로 반드시 갱신하세요.</t>
        </is>
      </c>
    </row>
    <row r="27">
      <c r="A27" s="2" t="inlineStr">
        <is>
          <t>⑤ 채널 성장 단계별 수익원 도입 로드맵</t>
        </is>
      </c>
    </row>
    <row r="28">
      <c r="A28" s="10" t="inlineStr">
        <is>
          <t>성장 단계</t>
        </is>
      </c>
      <c r="B28" s="10" t="inlineStr">
        <is>
          <t>우선 도입 수익원</t>
        </is>
      </c>
      <c r="C28" s="10" t="inlineStr">
        <is>
          <t>비고</t>
        </is>
      </c>
    </row>
    <row r="29">
      <c r="A29" s="3" t="inlineStr">
        <is>
          <t>구독자 0~1천 명</t>
        </is>
      </c>
      <c r="B29" s="3" t="inlineStr">
        <is>
          <t>제휴마케팅 + 저가 자체 상품(전자책 등)</t>
        </is>
      </c>
      <c r="C29" s="4" t="inlineStr">
        <is>
          <t>협찬 문의는 아직 드묾, 직접 제안도 가능</t>
        </is>
      </c>
    </row>
    <row r="30">
      <c r="A30" s="3" t="inlineStr">
        <is>
          <t>구독자 1천~1만 명</t>
        </is>
      </c>
      <c r="B30" s="3" t="inlineStr">
        <is>
          <t>협찬(언급형) + 멤버십·슈퍼챗</t>
        </is>
      </c>
      <c r="C30" s="4" t="inlineStr">
        <is>
          <t>팬 펀딩 조건 충족 후 적극 도입</t>
        </is>
      </c>
    </row>
    <row r="31">
      <c r="A31" s="3" t="inlineStr">
        <is>
          <t>구독자 1만 명 이상</t>
        </is>
      </c>
      <c r="B31" s="3" t="inlineStr">
        <is>
          <t>전용리뷰·콜라보 협찬 + 자체 상품 확대</t>
        </is>
      </c>
      <c r="C31" s="4" t="inlineStr">
        <is>
          <t>단가 협상력이 커지는 구간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2026-09-27T21:24:57Z</dcterms:created>
  <dcterms:modified xsi:type="dcterms:W3CDTF">2026-09-27T21:24:57Z</dcterms:modified>
</cp:coreProperties>
</file>