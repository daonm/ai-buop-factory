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#,##0&quot;회&quot;"/>
  </numFmts>
  <fonts count="6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</font>
    <font>
      <color rgb="FF262C3D"/>
    </font>
    <font>
      <color rgb="FF565F72"/>
      <sz val="10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B87F1F"/>
      </patternFill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3" fillId="3" borderId="0" pivotButton="0" quotePrefix="0" xfId="0"/>
    <xf numFmtId="164" fontId="3" fillId="3" borderId="0" pivotButton="0" quotePrefix="0" xfId="0"/>
    <xf numFmtId="0" fontId="3" fillId="4" borderId="0" pivotButton="0" quotePrefix="0" xfId="0"/>
    <xf numFmtId="0" fontId="2" fillId="4" borderId="0" pivotButton="0" quotePrefix="0" xfId="0"/>
    <xf numFmtId="164" fontId="2" fillId="4" borderId="0" pivotButton="0" quotePrefix="0" xfId="0"/>
    <xf numFmtId="165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니치별 RPM·수익성 진단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니치(채널 주제)별 예상 광고 단가(RPM)를 넣으면 조회수 구간별 예상 광고수익을 계산해보는 참고용 도구입니다.</t>
        </is>
      </c>
    </row>
    <row r="6">
      <c r="B6" s="3" t="inlineStr">
        <is>
          <t>AI가 조사해준 RPM은 업계 평균 감각치이며, 실제 계정의 확정 수익이 아닙니다. 광고주 예산·계절성·지역에 따라 크게 달라질 수 있습니다. (기준: 2026년 9월 확인)</t>
        </is>
      </c>
    </row>
    <row r="8">
      <c r="B8" s="2" t="inlineStr">
        <is>
          <t>사용법</t>
        </is>
      </c>
    </row>
    <row r="9">
      <c r="B9" s="3" t="inlineStr">
        <is>
          <t>① 'AI 프롬프트 A1'로 얻은 니치별 RPM 하단/상단 값을 '계산기' 시트 노란색 칸에 입력</t>
        </is>
      </c>
    </row>
    <row r="10">
      <c r="B10" s="3" t="inlineStr">
        <is>
          <t>② 올리브색 칸에서 월 조회수 1만/10만/100만 구간별 예상 광고수익 확인</t>
        </is>
      </c>
    </row>
    <row r="11">
      <c r="B11" s="3" t="inlineStr">
        <is>
          <t>③ 3개 니치를 나란히 비교해 어떤 니치가 광고 수익성이 높은지 판단</t>
        </is>
      </c>
    </row>
    <row r="12">
      <c r="B12" s="3" t="inlineStr">
        <is>
          <t>④ 광고 수익만으로 부족하면 '협찬단가·제휴수익 계산기'로 넘어가 부가 수익까지 함께 진단</t>
        </is>
      </c>
    </row>
    <row r="14">
      <c r="B14" s="4" t="inlineStr">
        <is>
          <t>니치 수익성 진단은 '이 채널이 반드시 성공한다'는 보장이 아니라 '이 조건이면 이런 구조가 가능하다'는 리서치입니다. 상담 시 이 경계를 명확히 안내하세요.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20" customWidth="1" min="5" max="5"/>
    <col width="20" customWidth="1" min="6" max="6"/>
    <col width="14" customWidth="1" min="7" max="7"/>
  </cols>
  <sheetData>
    <row r="1">
      <c r="A1" s="1" t="inlineStr">
        <is>
          <t>니치별 RPM·수익성 진단 계산기</t>
        </is>
      </c>
    </row>
    <row r="3">
      <c r="A3" s="2" t="inlineStr">
        <is>
          <t>① 니치별 RPM 입력 (AI 리서치 결과를 그대로 입력)</t>
        </is>
      </c>
    </row>
    <row r="4">
      <c r="A4" s="5" t="inlineStr">
        <is>
          <t>니치명</t>
        </is>
      </c>
      <c r="B4" s="5" t="inlineStr">
        <is>
          <t>RPM 하단(원/1,000뷰)</t>
        </is>
      </c>
      <c r="C4" s="5" t="inlineStr">
        <is>
          <t>RPM 상단(원/1,000뷰)</t>
        </is>
      </c>
      <c r="D4" s="5" t="inlineStr">
        <is>
          <t>비고</t>
        </is>
      </c>
    </row>
    <row r="5">
      <c r="A5" s="6" t="inlineStr">
        <is>
          <t>재테크·투자 정보</t>
        </is>
      </c>
      <c r="B5" s="7" t="n">
        <v>3000</v>
      </c>
      <c r="C5" s="7" t="n">
        <v>8000</v>
      </c>
      <c r="D5" s="4" t="inlineStr">
        <is>
          <t>광고주 단가 매우 높음 (금융권 광고 경쟁)</t>
        </is>
      </c>
    </row>
    <row r="6">
      <c r="A6" s="6" t="inlineStr">
        <is>
          <t>요리·레시피</t>
        </is>
      </c>
      <c r="B6" s="7" t="n">
        <v>1500</v>
      </c>
      <c r="C6" s="7" t="n">
        <v>3000</v>
      </c>
      <c r="D6" s="4" t="inlineStr">
        <is>
          <t>중간 수준, 시청 지속시간에 따라 편차 큼</t>
        </is>
      </c>
    </row>
    <row r="7">
      <c r="A7" s="6" t="inlineStr">
        <is>
          <t>브이로그·일상</t>
        </is>
      </c>
      <c r="B7" s="7" t="n">
        <v>800</v>
      </c>
      <c r="C7" s="7" t="n">
        <v>1500</v>
      </c>
      <c r="D7" s="4" t="inlineStr">
        <is>
          <t>진입장벽 낮지만 RPM도 낮은 편</t>
        </is>
      </c>
    </row>
    <row r="9">
      <c r="A9" s="2" t="inlineStr">
        <is>
          <t>② 월 조회수 구간별 예상 광고수익 (하단RPM~상단RPM 기준)</t>
        </is>
      </c>
    </row>
    <row r="10">
      <c r="A10" s="5" t="inlineStr">
        <is>
          <t>니치명</t>
        </is>
      </c>
      <c r="B10" s="5" t="inlineStr">
        <is>
          <t>월 1만 조회</t>
        </is>
      </c>
      <c r="C10" s="5" t="inlineStr">
        <is>
          <t>월 10만 조회</t>
        </is>
      </c>
      <c r="D10" s="5" t="inlineStr">
        <is>
          <t>월 100만 조회</t>
        </is>
      </c>
    </row>
    <row r="11">
      <c r="A11" s="3">
        <f>A5</f>
        <v/>
      </c>
      <c r="B11" s="8">
        <f>TEXT(10000*B5/1000,"#,##0")&amp;"~"&amp;TEXT(10000*C5/1000,"#,##0")&amp;"원"</f>
        <v/>
      </c>
      <c r="C11" s="8">
        <f>TEXT(100000*B5/1000,"#,##0")&amp;"~"&amp;TEXT(100000*C5/1000,"#,##0")&amp;"원"</f>
        <v/>
      </c>
      <c r="D11" s="8">
        <f>TEXT(1000000*B5/1000,"#,##0")&amp;"~"&amp;TEXT(1000000*C5/1000,"#,##0")&amp;"원"</f>
        <v/>
      </c>
    </row>
    <row r="12">
      <c r="A12" s="3">
        <f>A6</f>
        <v/>
      </c>
      <c r="B12" s="8">
        <f>TEXT(10000*B6/1000,"#,##0")&amp;"~"&amp;TEXT(10000*C6/1000,"#,##0")&amp;"원"</f>
        <v/>
      </c>
      <c r="C12" s="8">
        <f>TEXT(100000*B6/1000,"#,##0")&amp;"~"&amp;TEXT(100000*C6/1000,"#,##0")&amp;"원"</f>
        <v/>
      </c>
      <c r="D12" s="8">
        <f>TEXT(1000000*B6/1000,"#,##0")&amp;"~"&amp;TEXT(1000000*C6/1000,"#,##0")&amp;"원"</f>
        <v/>
      </c>
    </row>
    <row r="13">
      <c r="A13" s="3">
        <f>A7</f>
        <v/>
      </c>
      <c r="B13" s="8">
        <f>TEXT(10000*B7/1000,"#,##0")&amp;"~"&amp;TEXT(10000*C7/1000,"#,##0")&amp;"원"</f>
        <v/>
      </c>
      <c r="C13" s="8">
        <f>TEXT(100000*B7/1000,"#,##0")&amp;"~"&amp;TEXT(100000*C7/1000,"#,##0")&amp;"원"</f>
        <v/>
      </c>
      <c r="D13" s="8">
        <f>TEXT(1000000*B7/1000,"#,##0")&amp;"~"&amp;TEXT(1000000*C7/1000,"#,##0")&amp;"원"</f>
        <v/>
      </c>
    </row>
    <row r="16">
      <c r="A16" s="2" t="inlineStr">
        <is>
          <t>③ 니치 비교 요약</t>
        </is>
      </c>
    </row>
    <row r="17">
      <c r="A17" s="3" t="inlineStr">
        <is>
          <t>최고 RPM 니치 대비 최저 RPM 니치 배율(상단 기준)</t>
        </is>
      </c>
      <c r="B17" s="9">
        <f>ROUND(MAX(C5:C7)/MIN(C5:C7),1)&amp;"배"</f>
        <v/>
      </c>
      <c r="C17" s="4" t="inlineStr">
        <is>
          <t>같은 조회수라도 니치 선택에 따라 광고 수익이 이만큼 차이 납니다.</t>
        </is>
      </c>
    </row>
    <row r="19">
      <c r="A19" s="2" t="inlineStr">
        <is>
          <t>④ 니치 확정 후 목표 조회수 직접 계산</t>
        </is>
      </c>
    </row>
    <row r="20">
      <c r="A20" s="3" t="inlineStr">
        <is>
          <t>확정 니치명</t>
        </is>
      </c>
      <c r="B20" s="6" t="inlineStr">
        <is>
          <t>재테크·투자 정보</t>
        </is>
      </c>
    </row>
    <row r="21">
      <c r="A21" s="3" t="inlineStr">
        <is>
          <t>확정 RPM(중간값 사용, 하단+상단÷2)</t>
        </is>
      </c>
      <c r="B21" s="10">
        <f>IFERROR(VLOOKUP(B20,A5:C7,2,FALSE)/2+VLOOKUP(B20,A5:C7,3,FALSE)/2,"니치명을 위 표와 동일하게 입력하세요")</f>
        <v/>
      </c>
    </row>
    <row r="22">
      <c r="A22" s="3" t="inlineStr">
        <is>
          <t>목표 월 광고수익(입력)</t>
        </is>
      </c>
      <c r="B22" s="7" t="n">
        <v>1000000</v>
      </c>
    </row>
    <row r="23">
      <c r="A23" s="3" t="inlineStr">
        <is>
          <t>필요 월 조회수(역산)</t>
        </is>
      </c>
      <c r="B23" s="11">
        <f>IFERROR(B22/B21*1000,"") </f>
        <v/>
      </c>
      <c r="C23" s="4" t="inlineStr">
        <is>
          <t>위에서 정한 목표 광고수익을 달성하려면 이 정도의 월 조회수가 필요하다는 뜻입니다. 광고 수익만으로 부족하면 다른 계산기(협찬·제휴)와 함께 보세요.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2026-09-27T21:24:57Z</dcterms:created>
  <dcterms:modified xsi:type="dcterms:W3CDTF">2026-09-27T21:24:57Z</dcterms:modified>
</cp:coreProperties>
</file>