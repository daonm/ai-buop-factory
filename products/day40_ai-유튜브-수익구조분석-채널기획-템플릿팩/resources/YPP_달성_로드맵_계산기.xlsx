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명&quot;"/>
    <numFmt numFmtId="165" formatCode="#,##0&quot;회&quot;"/>
    <numFmt numFmtId="166" formatCode="0.0&quot;%&quot;"/>
    <numFmt numFmtId="167" formatCode="#,##0.0&quot;편&quot;"/>
    <numFmt numFmtId="168" formatCode="#,##0&quot;시간&quot;"/>
    <numFmt numFmtId="169" formatCode="0.0&quot;개월&quot;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0" fillId="3" borderId="0" pivotButton="0" quotePrefix="0" xfId="0"/>
    <xf numFmtId="0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2" fillId="4" borderId="0" pivotButton="0" quotePrefix="0" xfId="0"/>
    <xf numFmtId="168" fontId="2" fillId="4" borderId="0" pivotButton="0" quotePrefix="0" xfId="0"/>
    <xf numFmtId="164" fontId="2" fillId="4" borderId="0" pivotButton="0" quotePrefix="0" xfId="0"/>
    <xf numFmtId="169" fontId="2" fillId="4" borderId="0" pivotButton="0" quotePrefix="0" xfId="0"/>
    <xf numFmtId="165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유튜브 파트너 프로그램(YPP) 달성 로드맵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현재(또는 계획 중인) 업로드 주기·평균 조회수를 입력하면 YPP 가입 조건 도달까지 대략 몇 개월이 걸리는지 역산해보는 참고용 도구입니다.</t>
        </is>
      </c>
    </row>
    <row r="6">
      <c r="B6" s="3" t="inlineStr">
        <is>
          <t>YPP 가입 조건은 유튜브 정책에 따라 수시로 바뀝니다(2027년 2월부터 기준 상향 예고). 아래 기준값은 2026년 9월 확인 기준이며, 상담 전 반드시 유튜브 고객센터 공식 페이지에서 최신 기준을 재확인하세요.</t>
        </is>
      </c>
    </row>
    <row r="8">
      <c r="B8" s="2" t="inlineStr">
        <is>
          <t>사용법</t>
        </is>
      </c>
    </row>
    <row r="9">
      <c r="B9" s="3" t="inlineStr">
        <is>
          <t>① '기준값' 섹션에서 최신 YPP 조건으로 갱신되어 있는지 먼저 확인</t>
        </is>
      </c>
    </row>
    <row r="10">
      <c r="B10" s="3" t="inlineStr">
        <is>
          <t>② '계산기' 시트 노란색 칸에 주당 업로드 편수·평균 조회수·평균 시청 지속시간·구독 전환율을 입력</t>
        </is>
      </c>
    </row>
    <row r="11">
      <c r="B11" s="3" t="inlineStr">
        <is>
          <t>③ 올리브색 칸에서 펜 펀딩·전체 광고수익 단계 도달까지 예상 개월수 확인</t>
        </is>
      </c>
    </row>
    <row r="12">
      <c r="B12" s="3" t="inlineStr">
        <is>
          <t>④ 쇼츠 중심 채널이라면 하단 '쇼츠 경로' 섹션도 함께 입력해 두 경로를 비교</t>
        </is>
      </c>
    </row>
    <row r="14">
      <c r="B14" s="4" t="inlineStr">
        <is>
          <t>이 계산기는 조건 도달 시점을 보장하지 않습니다. 실제 조회수·구독자 성장은 콘텐츠 품질·알고리즘·트렌드에 따라 크게 달라질 수 있는 예상치라는 점을 반드시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30" customWidth="1" min="4" max="4"/>
    <col width="30" customWidth="1" min="5" max="5"/>
  </cols>
  <sheetData>
    <row r="1">
      <c r="A1" s="1" t="inlineStr">
        <is>
          <t>YPP 달성 로드맵 계산기</t>
        </is>
      </c>
    </row>
    <row r="3">
      <c r="A3" s="2" t="inlineStr">
        <is>
          <t>① 기준값 — YPP 가입 조건 (2026년 9월 확인, 정책 변경 시 갱신)</t>
        </is>
      </c>
    </row>
    <row r="4">
      <c r="A4" s="5" t="inlineStr">
        <is>
          <t>단계</t>
        </is>
      </c>
      <c r="B4" s="5" t="inlineStr">
        <is>
          <t>구독자 조건</t>
        </is>
      </c>
      <c r="C4" s="5" t="inlineStr">
        <is>
          <t>시청시간/쇼츠조회수 조건</t>
        </is>
      </c>
      <c r="D4" s="5" t="inlineStr">
        <is>
          <t>비고</t>
        </is>
      </c>
    </row>
    <row r="5">
      <c r="A5" s="3" t="inlineStr">
        <is>
          <t>펜 펀딩(멤버십 등)</t>
        </is>
      </c>
      <c r="B5" s="6" t="n">
        <v>500</v>
      </c>
      <c r="C5" s="3" t="inlineStr">
        <is>
          <t>최근 90일 3,000시간 또는 쇼츠 300만 회</t>
        </is>
      </c>
      <c r="D5" s="4" t="inlineStr">
        <is>
          <t>공개 업로드 3개 이상 필요</t>
        </is>
      </c>
    </row>
    <row r="6">
      <c r="A6" s="3" t="inlineStr">
        <is>
          <t>전체 광고수익(YPP)</t>
        </is>
      </c>
      <c r="B6" s="6" t="n">
        <v>1000</v>
      </c>
      <c r="C6" s="3" t="inlineStr">
        <is>
          <t>누적 4,000시간 또는 쇼츠 1,000만 회</t>
        </is>
      </c>
      <c r="D6" s="4" t="inlineStr">
        <is>
          <t>2027년 2월부터 기준 상향 예고</t>
        </is>
      </c>
    </row>
    <row r="8">
      <c r="A8" s="2" t="inlineStr">
        <is>
          <t>② 롱폼 경로 — 업로드·시청 조건 입력</t>
        </is>
      </c>
    </row>
    <row r="9">
      <c r="A9" s="3" t="inlineStr">
        <is>
          <t>주당 업로드 편수</t>
        </is>
      </c>
      <c r="B9" s="7" t="n">
        <v>2</v>
      </c>
    </row>
    <row r="10">
      <c r="A10" s="3" t="inlineStr">
        <is>
          <t>영상당 평균 조회수</t>
        </is>
      </c>
      <c r="B10" s="8" t="n">
        <v>3000</v>
      </c>
    </row>
    <row r="11">
      <c r="A11" s="3" t="inlineStr">
        <is>
          <t>영상당 평균 시청 지속시간(분)</t>
        </is>
      </c>
      <c r="B11" s="7" t="n">
        <v>4</v>
      </c>
    </row>
    <row r="12">
      <c r="A12" s="3" t="inlineStr">
        <is>
          <t>조회수 대비 구독 전환율(%)</t>
        </is>
      </c>
      <c r="B12" s="9" t="n">
        <v>0.5</v>
      </c>
    </row>
    <row r="14">
      <c r="A14" s="2" t="inlineStr">
        <is>
          <t>③ 롱폼 경로 — 계산 결과</t>
        </is>
      </c>
    </row>
    <row r="15">
      <c r="A15" s="3" t="inlineStr">
        <is>
          <t>월 업로드 편수(주×4.3주)</t>
        </is>
      </c>
      <c r="B15" s="10">
        <f>B9*4.3</f>
        <v/>
      </c>
    </row>
    <row r="16">
      <c r="A16" s="3" t="inlineStr">
        <is>
          <t>월 누적 시청시간(시간)</t>
        </is>
      </c>
      <c r="B16" s="11">
        <f>B15*B10*B11/60</f>
        <v/>
      </c>
    </row>
    <row r="17">
      <c r="A17" s="3" t="inlineStr">
        <is>
          <t>월 신규 구독자</t>
        </is>
      </c>
      <c r="B17" s="12">
        <f>B15*B10*B12/100</f>
        <v/>
      </c>
    </row>
    <row r="19">
      <c r="A19" s="3" t="inlineStr">
        <is>
          <t>펜 펀딩(구독자 500명) 도달 예상 개월</t>
        </is>
      </c>
      <c r="B19" s="13">
        <f>IFERROR(ROUNDUP(B6/B17,1),"입력값을 확인하세요")</f>
        <v/>
      </c>
    </row>
    <row r="20">
      <c r="A20" s="3" t="inlineStr">
        <is>
          <t>펜 펀딩(3,000시간, 단순 누적 기준) 도달 예상 개월</t>
        </is>
      </c>
      <c r="B20" s="13">
        <f>IFERROR(ROUNDUP(3000/B16,1),"")</f>
        <v/>
      </c>
      <c r="C20" s="4" t="inlineStr">
        <is>
          <t>실제 조건은 '최근 90일' 기준이므로, 이 수치보다 실제 도달이 늦을 수 있습니다(월별 시청시간이 90일 창을 벗어나면 리셋되는 효과 반영 안 됨).</t>
        </is>
      </c>
    </row>
    <row r="21">
      <c r="A21" s="3" t="inlineStr">
        <is>
          <t>전체 광고수익(구독자 1,000명) 도달 예상 개월</t>
        </is>
      </c>
      <c r="B21" s="13">
        <f>IFERROR(ROUNDUP(1000/B17,1),"")</f>
        <v/>
      </c>
    </row>
    <row r="22">
      <c r="A22" s="3" t="inlineStr">
        <is>
          <t>전체 광고수익(4,000시간) 도달 예상 개월</t>
        </is>
      </c>
      <c r="B22" s="13">
        <f>IFERROR(ROUNDUP(4000/B16,1),"")</f>
        <v/>
      </c>
    </row>
    <row r="24">
      <c r="A24" s="2" t="inlineStr">
        <is>
          <t>④ 쇼츠 경로 — 업로드 조건 입력 (선택)</t>
        </is>
      </c>
    </row>
    <row r="25">
      <c r="A25" s="3" t="inlineStr">
        <is>
          <t>주당 쇼츠 업로드 편수</t>
        </is>
      </c>
      <c r="B25" s="7" t="n">
        <v>5</v>
      </c>
    </row>
    <row r="26">
      <c r="A26" s="3" t="inlineStr">
        <is>
          <t>쇼츠 평균 조회수</t>
        </is>
      </c>
      <c r="B26" s="8" t="n">
        <v>8000</v>
      </c>
    </row>
    <row r="28">
      <c r="A28" s="2" t="inlineStr">
        <is>
          <t>⑤ 쇼츠 경로 — 계산 결과</t>
        </is>
      </c>
    </row>
    <row r="29">
      <c r="A29" s="3" t="inlineStr">
        <is>
          <t>월 쇼츠 조회수 누적</t>
        </is>
      </c>
      <c r="B29" s="14">
        <f>B25*4.3*B26</f>
        <v/>
      </c>
    </row>
    <row r="30">
      <c r="A30" s="3" t="inlineStr">
        <is>
          <t>펜 펀딩(쇼츠 300만 회) 도달 예상 개월</t>
        </is>
      </c>
      <c r="B30" s="13">
        <f>IFERROR(ROUNDUP(3000000/B29,1),"")</f>
        <v/>
      </c>
    </row>
    <row r="31">
      <c r="A31" s="3" t="inlineStr">
        <is>
          <t>전체 광고수익(쇼츠 1,000만 회) 도달 예상 개월</t>
        </is>
      </c>
      <c r="B31" s="13">
        <f>IFERROR(ROUNDUP(10000000/B29,1),"")</f>
        <v/>
      </c>
      <c r="C31" s="4" t="inlineStr">
        <is>
          <t>롱폼·쇼츠 두 경로 중 더 빠른 쪽을 우선 전략으로 상담 시 제안하세요.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2026-09-27T21:24:57Z</dcterms:created>
  <dcterms:modified xsi:type="dcterms:W3CDTF">2026-09-27T21:24:57Z</dcterms:modified>
</cp:coreProperties>
</file>