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262C3D"/>
      <sz val="13"/>
    </font>
    <font>
      <color rgb="00262C3D"/>
      <sz val="11"/>
    </font>
    <font>
      <b val="1"/>
      <color rgb="00262C3D"/>
    </font>
    <font>
      <color rgb="00262C3D"/>
    </font>
    <font>
      <b val="1"/>
      <color rgb="00FFFFFF"/>
    </font>
    <font>
      <color rgb="00565F72"/>
      <sz val="10"/>
    </font>
    <font>
      <b val="1"/>
      <color rgb="00262C3D"/>
      <sz val="14"/>
    </font>
    <font>
      <b val="1"/>
      <color rgb="00B87F1F"/>
    </font>
    <font>
      <i val="1"/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  <fill>
      <patternFill patternType="solid">
        <fgColor rgb="00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" fontId="4" fillId="2" borderId="0" pivotButton="0" quotePrefix="0" xfId="0"/>
    <xf numFmtId="3" fontId="4" fillId="2" borderId="0" pivotButton="0" quotePrefix="0" xfId="0"/>
    <xf numFmtId="3" fontId="4" fillId="3" borderId="0" pivotButton="0" quotePrefix="0" xfId="0"/>
    <xf numFmtId="3" fontId="3" fillId="3" borderId="0" pivotButton="0" quotePrefix="0" xfId="0"/>
    <xf numFmtId="1" fontId="4" fillId="3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5" fillId="4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할부·리스·현금 5년 총비용(TCO) 비교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할부·리스·현금 세 가지 구매 방식의 5년(또는 지정 기간) 총소유비용(TCO)을 같은 기준으로 비교하는 참고용 도구입니다.</t>
        </is>
      </c>
    </row>
    <row r="6">
      <c r="B6" s="3" t="inlineStr">
        <is>
          <t>자동차세·보험료·정비비·매각가는 차종·운전자 조건에 따라 달라지므로 실제 조건으로 다시 확인해야 합니다. (기준: 2026년 10월 확인)</t>
        </is>
      </c>
    </row>
    <row r="8">
      <c r="B8" s="2" t="inlineStr">
        <is>
          <t>사용법</t>
        </is>
      </c>
    </row>
    <row r="9">
      <c r="B9" s="3" t="inlineStr">
        <is>
          <t>① '실구매가_취득세_계산기.xlsx'와 '할부_리스_비교_계산기.xlsx'의 결과값(실구매가, 선수금, 월 납입금, 보증금, 월 리스료)을 노란색 입력 칸에 그대로 옮겨 입력</t>
        </is>
      </c>
    </row>
    <row r="10">
      <c r="B10" s="3" t="inlineStr">
        <is>
          <t>② ①의 공통 조건(자동차세·보험료·정비비)을 실제 차종 기준으로 입력</t>
        </is>
      </c>
    </row>
    <row r="11">
      <c r="B11" s="3" t="inlineStr">
        <is>
          <t>③ ⑥의 현금 구매 조건(기회비용 수익률)을 보수적·적극적 두 시나리오로 입력</t>
        </is>
      </c>
    </row>
    <row r="12">
      <c r="B12" s="3" t="inlineStr">
        <is>
          <t>④ ⑧ 최종 비교 요약에서 총비용 기준·현금흐름 기준 각각 가장 유리한 방식을 바로 확인</t>
        </is>
      </c>
    </row>
    <row r="13">
      <c r="B13" s="3" t="inlineStr">
        <is>
          <t>⑤ 결과를 의뢰인용 비교 리포트(견적비교_의뢰접수_템플릿.docx)에 옮겨 정리</t>
        </is>
      </c>
    </row>
    <row r="15">
      <c r="B15" s="4" t="inlineStr">
        <is>
          <t>5년 총비용은 매각가·수익률 가정에 따라 달라지는 '현재 기준 추정치'입니다. 의뢰인에게 안내할 때 항상 추정치임을 함께 전달하세요.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4" customWidth="1" min="4" max="4"/>
  </cols>
  <sheetData>
    <row r="1">
      <c r="A1" s="5" t="inlineStr">
        <is>
          <t>할부·리스·현금 5년 총비용(TCO) 비교 계산기</t>
        </is>
      </c>
    </row>
    <row r="3">
      <c r="A3" s="6" t="inlineStr">
        <is>
          <t>① 공통 조건 입력 (차량 보유 중 공통 발생 비용)</t>
        </is>
      </c>
    </row>
    <row r="4">
      <c r="A4" s="7" t="inlineStr">
        <is>
          <t>보유 기간 (년)</t>
        </is>
      </c>
      <c r="B4" s="8" t="n">
        <v>5</v>
      </c>
    </row>
    <row r="5">
      <c r="A5" s="7" t="inlineStr">
        <is>
          <t>연간 자동차세 (원)</t>
        </is>
      </c>
      <c r="B5" s="9" t="n">
        <v>520000</v>
      </c>
    </row>
    <row r="6">
      <c r="A6" s="7" t="inlineStr">
        <is>
          <t>연간 보험료 (원)</t>
        </is>
      </c>
      <c r="B6" s="9" t="n">
        <v>1200000</v>
      </c>
    </row>
    <row r="7">
      <c r="A7" s="7" t="inlineStr">
        <is>
          <t>연간 정비·소모품비 (원)</t>
        </is>
      </c>
      <c r="B7" s="9" t="n">
        <v>600000</v>
      </c>
    </row>
    <row r="8">
      <c r="A8" s="7" t="inlineStr">
        <is>
          <t>연간 공통비용 합계</t>
        </is>
      </c>
      <c r="B8" s="10">
        <f>B5+B6+B7</f>
        <v/>
      </c>
    </row>
    <row r="9">
      <c r="A9" s="7" t="inlineStr">
        <is>
          <t>보유기간 전체 공통비용</t>
        </is>
      </c>
      <c r="B9" s="11">
        <f>B8*B4</f>
        <v/>
      </c>
    </row>
    <row r="11">
      <c r="A11" s="6" t="inlineStr">
        <is>
          <t>② 할부 구매 조건 입력</t>
        </is>
      </c>
    </row>
    <row r="12">
      <c r="A12" s="7" t="inlineStr">
        <is>
          <t>실구매가 (세금 포함, 원 — 실구매가 계산기 결과)</t>
        </is>
      </c>
      <c r="B12" s="9" t="n">
        <v>33340000</v>
      </c>
    </row>
    <row r="13">
      <c r="A13" s="7" t="inlineStr">
        <is>
          <t>선수금 (원 — 할부·리스 비교 계산기 결과)</t>
        </is>
      </c>
      <c r="B13" s="9" t="n">
        <v>10002000</v>
      </c>
    </row>
    <row r="14">
      <c r="A14" s="7" t="inlineStr">
        <is>
          <t>월 납입금 (원 — 할부·리스 비교 계산기 결과)</t>
        </is>
      </c>
      <c r="B14" s="9" t="n">
        <v>435091</v>
      </c>
    </row>
    <row r="15">
      <c r="A15" s="7" t="inlineStr">
        <is>
          <t>할부 기간 (개월)</t>
        </is>
      </c>
      <c r="B15" s="8" t="n">
        <v>60</v>
      </c>
    </row>
    <row r="16">
      <c r="A16" s="7" t="inlineStr">
        <is>
          <t>보유기간 후 예상 매각가 (원)</t>
        </is>
      </c>
      <c r="B16" s="9" t="n">
        <v>11500000</v>
      </c>
    </row>
    <row r="18">
      <c r="A18" s="6" t="inlineStr">
        <is>
          <t>③ 할부 5년 총비용 계산</t>
        </is>
      </c>
    </row>
    <row r="19">
      <c r="A19" s="7" t="inlineStr">
        <is>
          <t>실제 납입 개월 수 (할부기간과 보유기간 중 작은 값)</t>
        </is>
      </c>
      <c r="B19" s="12">
        <f>MIN(B15,B4*12)</f>
        <v/>
      </c>
    </row>
    <row r="20">
      <c r="A20" s="7" t="inlineStr">
        <is>
          <t>총 납입액 (월 납입금 × 실제 납입 개월)</t>
        </is>
      </c>
      <c r="B20" s="10">
        <f>B14*B19</f>
        <v/>
      </c>
    </row>
    <row r="21">
      <c r="A21" s="7" t="inlineStr">
        <is>
          <t>할부 5년 총비용 (선수금+총납입액+공통비용−매각가)</t>
        </is>
      </c>
      <c r="B21" s="11">
        <f>B13+B20+B9-B16</f>
        <v/>
      </c>
    </row>
    <row r="22">
      <c r="A22" s="7" t="inlineStr">
        <is>
          <t>할부 월평균 현금흐름 부담 (선수금+총납입액÷보유개월)</t>
        </is>
      </c>
      <c r="B22" s="10">
        <f>(B13+B20)/(B4*12)</f>
        <v/>
      </c>
    </row>
    <row r="24">
      <c r="A24" s="6" t="inlineStr">
        <is>
          <t>④ 리스 조건 입력</t>
        </is>
      </c>
    </row>
    <row r="25">
      <c r="A25" s="7" t="inlineStr">
        <is>
          <t>보증금 (원 — 할부·리스 비교 계산기 결과)</t>
        </is>
      </c>
      <c r="B25" s="9" t="n">
        <v>3334000</v>
      </c>
    </row>
    <row r="26">
      <c r="A26" s="7" t="inlineStr">
        <is>
          <t>월 리스료 (원 — 할부·리스 비교 계산기 결과)</t>
        </is>
      </c>
      <c r="B26" s="9" t="n">
        <v>388958</v>
      </c>
    </row>
    <row r="27">
      <c r="A27" s="7" t="inlineStr">
        <is>
          <t>리스 기간 (개월)</t>
        </is>
      </c>
      <c r="B27" s="8" t="n">
        <v>60</v>
      </c>
    </row>
    <row r="28">
      <c r="A28" s="7" t="inlineStr">
        <is>
          <t>만기 처리 방식 (반납/인수)</t>
        </is>
      </c>
      <c r="B28" s="13" t="inlineStr">
        <is>
          <t>반납</t>
        </is>
      </c>
    </row>
    <row r="29">
      <c r="A29" s="7" t="inlineStr">
        <is>
          <t>만기 인수 시 비용 (원, 반납이면 0으로 두어도 무방)</t>
        </is>
      </c>
      <c r="B29" s="9" t="n">
        <v>13336000</v>
      </c>
    </row>
    <row r="31">
      <c r="A31" s="6" t="inlineStr">
        <is>
          <t>⑤ 리스 5년 총비용 계산</t>
        </is>
      </c>
    </row>
    <row r="32">
      <c r="A32" s="7" t="inlineStr">
        <is>
          <t>실제 납입 개월 수 (리스기간과 보유기간 중 작은 값)</t>
        </is>
      </c>
      <c r="B32" s="12">
        <f>MIN(B27,B4*12)</f>
        <v/>
      </c>
    </row>
    <row r="33">
      <c r="A33" s="7" t="inlineStr">
        <is>
          <t>총 리스료 (월 리스료 × 실제 납입 개월)</t>
        </is>
      </c>
      <c r="B33" s="10">
        <f>B26*B32</f>
        <v/>
      </c>
    </row>
    <row r="34">
      <c r="A34" s="7" t="inlineStr">
        <is>
          <t>만기 처리 비용 (인수 선택 시만 발생)</t>
        </is>
      </c>
      <c r="B34" s="10">
        <f>IF(B28="인수",B29,0)</f>
        <v/>
      </c>
    </row>
    <row r="35">
      <c r="A35" s="7" t="inlineStr">
        <is>
          <t>리스 5년 총비용 (보증금+총리스료+공통비용+만기처리비용)</t>
        </is>
      </c>
      <c r="B35" s="11">
        <f>B25+B33+B9+B34</f>
        <v/>
      </c>
    </row>
    <row r="36">
      <c r="A36" s="7" t="inlineStr">
        <is>
          <t>리스 월평균 현금흐름 부담 (보증금+총리스료÷보유개월)</t>
        </is>
      </c>
      <c r="B36" s="10">
        <f>(B25+B33)/(B4*12)</f>
        <v/>
      </c>
    </row>
    <row r="38">
      <c r="A38" s="6" t="inlineStr">
        <is>
          <t>⑥ 현금 구매 조건 입력</t>
        </is>
      </c>
    </row>
    <row r="39">
      <c r="A39" s="7" t="inlineStr">
        <is>
          <t>현금 총지출 (실구매가, 원)</t>
        </is>
      </c>
      <c r="B39" s="9" t="n">
        <v>33340000</v>
      </c>
    </row>
    <row r="40">
      <c r="A40" s="7" t="inlineStr">
        <is>
          <t>보유기간 후 예상 매각가 (원)</t>
        </is>
      </c>
      <c r="B40" s="9" t="n">
        <v>11500000</v>
      </c>
    </row>
    <row r="41">
      <c r="A41" s="7" t="inlineStr">
        <is>
          <t>기회비용 연 수익률 — 보수적 시나리오 (%, 숫자만)</t>
        </is>
      </c>
      <c r="B41" s="14" t="n">
        <v>2.5</v>
      </c>
    </row>
    <row r="42">
      <c r="A42" s="7" t="inlineStr">
        <is>
          <t>기회비용 연 수익률 — 적극적 시나리오 (%, 숫자만)</t>
        </is>
      </c>
      <c r="B42" s="14" t="n">
        <v>6</v>
      </c>
    </row>
    <row r="44">
      <c r="A44" s="6" t="inlineStr">
        <is>
          <t>⑦ 현금 구매 5년 총비용 계산</t>
        </is>
      </c>
    </row>
    <row r="45">
      <c r="A45" s="7" t="inlineStr">
        <is>
          <t>기회비용 — 보수적 ((1+수익률)^기간−1 적용)</t>
        </is>
      </c>
      <c r="B45" s="10">
        <f>ROUND(B39*((1+B41/100)^B4-1),0)</f>
        <v/>
      </c>
    </row>
    <row r="46">
      <c r="A46" s="7" t="inlineStr">
        <is>
          <t>기회비용 — 적극적 ((1+수익률)^기간−1 적용)</t>
        </is>
      </c>
      <c r="B46" s="10">
        <f>ROUND(B39*((1+B42/100)^B4-1),0)</f>
        <v/>
      </c>
    </row>
    <row r="47">
      <c r="A47" s="7" t="inlineStr">
        <is>
          <t>현금 5년 총비용 — 보수적 (현금지출+공통비용−매각가+기회비용)</t>
        </is>
      </c>
      <c r="B47" s="11">
        <f>B39+B9-B40+B45</f>
        <v/>
      </c>
    </row>
    <row r="48">
      <c r="A48" s="7" t="inlineStr">
        <is>
          <t>현금 5년 총비용 — 적극적 (현금지출+공통비용−매각가+기회비용)</t>
        </is>
      </c>
      <c r="B48" s="11">
        <f>B39+B9-B40+B46</f>
        <v/>
      </c>
    </row>
    <row r="49">
      <c r="A49" s="7" t="inlineStr">
        <is>
          <t>현금 월평균 현금흐름 부담 (현금지출÷보유개월, 참고용)</t>
        </is>
      </c>
      <c r="B49" s="10">
        <f>B39/(B4*12)</f>
        <v/>
      </c>
    </row>
    <row r="51">
      <c r="A51" s="6" t="inlineStr">
        <is>
          <t>⑧ 최종 비교 요약</t>
        </is>
      </c>
    </row>
    <row r="52">
      <c r="A52" s="15" t="inlineStr">
        <is>
          <t>구매 방식</t>
        </is>
      </c>
      <c r="B52" s="15" t="inlineStr">
        <is>
          <t>5년 총비용</t>
        </is>
      </c>
      <c r="C52" s="15" t="inlineStr">
        <is>
          <t>월평균 현금흐름 부담</t>
        </is>
      </c>
    </row>
    <row r="53">
      <c r="A53" s="7" t="inlineStr">
        <is>
          <t>할부</t>
        </is>
      </c>
      <c r="B53" s="10">
        <f>B21</f>
        <v/>
      </c>
      <c r="C53" s="10">
        <f>B22</f>
        <v/>
      </c>
    </row>
    <row r="54">
      <c r="A54" s="7" t="inlineStr">
        <is>
          <t>리스</t>
        </is>
      </c>
      <c r="B54" s="10">
        <f>B35</f>
        <v/>
      </c>
      <c r="C54" s="10">
        <f>B36</f>
        <v/>
      </c>
    </row>
    <row r="55">
      <c r="A55" s="7" t="inlineStr">
        <is>
          <t>현금 (보수적 기회비용)</t>
        </is>
      </c>
      <c r="B55" s="10">
        <f>B47</f>
        <v/>
      </c>
      <c r="C55" s="10">
        <f>B49</f>
        <v/>
      </c>
    </row>
    <row r="56">
      <c r="A56" s="7" t="inlineStr">
        <is>
          <t>현금 (적극적 기회비용)</t>
        </is>
      </c>
      <c r="B56" s="10">
        <f>B48</f>
        <v/>
      </c>
      <c r="C56" s="10">
        <f>B49</f>
        <v/>
      </c>
    </row>
    <row r="58">
      <c r="A58" s="7" t="inlineStr">
        <is>
          <t>총비용 기준 최저 방식</t>
        </is>
      </c>
      <c r="B58" s="16">
        <f>IF(AND(B53&lt;=B54,B53&lt;=B55,B53&lt;=B56),"할부",IF(AND(B54&lt;=B55,B54&lt;=B56),"리스",IF(B55&lt;=B56,"현금(보수적 기준)","현금(적극적 기준)")))</f>
        <v/>
      </c>
    </row>
    <row r="59">
      <c r="A59" s="7" t="inlineStr">
        <is>
          <t>월 현금흐름 부담 기준 최저 방식</t>
        </is>
      </c>
      <c r="B59" s="16">
        <f>IF(AND(C53&lt;=C54,C53&lt;=C55),"할부",IF(C54&lt;=C55,"리스","현금"))</f>
        <v/>
      </c>
    </row>
    <row r="61">
      <c r="A61" s="17" t="inlineStr">
        <is>
          <t>참고</t>
        </is>
      </c>
    </row>
    <row r="62">
      <c r="A62" s="18" t="inlineStr">
        <is>
          <t>자동차세·보험료·정비비는 차종(배기량)·운전자 등급·운행 거리에 따라 달라지므로 반드시 실제 조건으로 다시 입력하세요. 매각가·잔존가치는 그 시점의 중고차 시세에 따라 달라지는 추정치이며, 기회비용은 가정한 수익률에 따라 결과가 크게 달라지는 '의사결정 참고용' 수치입니다. 보수적·적극적 두 시나리오를 함께 보여주는 것을 권장합니다.</t>
        </is>
      </c>
    </row>
  </sheetData>
  <mergeCells count="1">
    <mergeCell ref="A62:D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2026-10-05T21:28:46Z</dcterms:created>
  <dcterms:modified xmlns:dcterms="http://purl.org/dc/terms/" xmlns:xsi="http://www.w3.org/2001/XMLSchema-instance" xsi:type="dcterms:W3CDTF">2026-10-05T21:28:46Z</dcterms:modified>
</cp:coreProperties>
</file>