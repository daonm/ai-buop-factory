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62C3D"/>
      <sz val="13"/>
    </font>
    <font>
      <color rgb="00262C3D"/>
      <sz val="11"/>
    </font>
    <font>
      <b val="1"/>
      <color rgb="00262C3D"/>
    </font>
    <font>
      <b val="1"/>
      <color rgb="00FFFFFF"/>
    </font>
    <font>
      <color rgb="00262C3D"/>
    </font>
    <font>
      <color rgb="00565F72"/>
      <sz val="10"/>
    </font>
    <font>
      <b val="1"/>
      <color rgb="00262C3D"/>
      <sz val="14"/>
    </font>
    <font>
      <b val="1"/>
      <color rgb="00B87F1F"/>
    </font>
    <font>
      <i val="1"/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9" fontId="2" fillId="0" borderId="0" pivotButton="0" quotePrefix="0" xfId="0"/>
    <xf numFmtId="3" fontId="2" fillId="0" borderId="0" pivotButton="0" quotePrefix="0" xfId="0"/>
    <xf numFmtId="3" fontId="5" fillId="3" borderId="0" pivotButton="0" quotePrefix="0" xfId="0"/>
    <xf numFmtId="1" fontId="5" fillId="3" borderId="0" pivotButton="0" quotePrefix="0" xfId="0"/>
    <xf numFmtId="0" fontId="5" fillId="3" borderId="0" pivotButton="0" quotePrefix="0" xfId="0"/>
    <xf numFmtId="3" fontId="5" fillId="4" borderId="0" pivotButton="0" quotePrefix="0" xfId="0"/>
    <xf numFmtId="3" fontId="3" fillId="4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사업자·법인 자동차 구매 절세효과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사업자가 차량을 할부(자산취득)로 사는 경우와 리스로 이용하는 경우의 연간 절세효과(감가상각비·이자비용·부가세 환급 반영)를 비교하는 참고용 도구입니다.</t>
        </is>
      </c>
    </row>
    <row r="6">
      <c r="B6" s="3" t="inlineStr">
        <is>
          <t>비영업용 승용차의 부가세 매입세액공제·손금 한도는 세법상 제한이 복잡하므로, 실제 적용 여부는 반드시 세무사 확인이 필요합니다. (기준: 2026년 10월 확인)</t>
        </is>
      </c>
    </row>
    <row r="8">
      <c r="B8" s="2" t="inlineStr">
        <is>
          <t>사용법</t>
        </is>
      </c>
    </row>
    <row r="9">
      <c r="B9" s="3" t="inlineStr">
        <is>
          <t>① '실구매가_취득세_계산기.xlsx'·'할부_리스_비교_계산기.xlsx' 결과값(취득가액·이자비용·리스료)을 노란색 칸에 입력</t>
        </is>
      </c>
    </row>
    <row r="10">
      <c r="B10" s="3" t="inlineStr">
        <is>
          <t>② 의뢰인의 리스 매입세액공제 가능 여부와 적용 세율(법인세 또는 소득세 한계세율)을 확인해 입력</t>
        </is>
      </c>
    </row>
    <row r="11">
      <c r="B11" s="3" t="inlineStr">
        <is>
          <t>③ ③·④에서 할부·리스 각각의 연간 손금 인정액과 절세효과를 자동 계산</t>
        </is>
      </c>
    </row>
    <row r="12">
      <c r="B12" s="3" t="inlineStr">
        <is>
          <t>④ ⑤ 비교 결과로 어느 방식이 세제 혜택 측면에서 더 유리한지 바로 확인하고, 이 결과를 TCO 비교 계산기의 참고자료로 함께 제시</t>
        </is>
      </c>
    </row>
    <row r="14">
      <c r="B14" s="4" t="inlineStr">
        <is>
          <t>절세효과는 세율·한도 가정에 따라 달라지는 '현재 기준 추정치'이며 확정 세액이 아닙니다. 의뢰인에게는 항상 추정치이며 세무사 확인이 필요하다는 점을 함께 안내하세요.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4" customWidth="1" min="4" max="4"/>
  </cols>
  <sheetData>
    <row r="1">
      <c r="A1" s="5" t="inlineStr">
        <is>
          <t>사업자·법인 자동차 구매 절세효과 계산기</t>
        </is>
      </c>
    </row>
    <row r="3">
      <c r="A3" s="6" t="inlineStr">
        <is>
          <t>① 2026년 업무용 승용차 관련 세법 참고표</t>
        </is>
      </c>
    </row>
    <row r="4">
      <c r="A4" s="7" t="inlineStr">
        <is>
          <t>항목</t>
        </is>
      </c>
      <c r="B4" s="7" t="inlineStr">
        <is>
          <t>기준</t>
        </is>
      </c>
    </row>
    <row r="5">
      <c r="A5" s="8" t="inlineStr">
        <is>
          <t>부가가치세율</t>
        </is>
      </c>
      <c r="B5" s="9" t="n">
        <v>0.1</v>
      </c>
    </row>
    <row r="6">
      <c r="A6" s="8" t="inlineStr">
        <is>
          <t>감가상각비 손금 한도 (연, 정액법 5년 기준)</t>
        </is>
      </c>
      <c r="B6" s="10" t="n">
        <v>8000000</v>
      </c>
    </row>
    <row r="7">
      <c r="A7" s="8" t="inlineStr">
        <is>
          <t>업무용승용차 관련비용 손금 한도 (연, 업무전용보험 가입 시)</t>
        </is>
      </c>
      <c r="B7" s="10" t="n">
        <v>15000000</v>
      </c>
    </row>
    <row r="9">
      <c r="A9" s="6" t="inlineStr">
        <is>
          <t>② 조건 입력</t>
        </is>
      </c>
    </row>
    <row r="10">
      <c r="A10" s="8" t="inlineStr">
        <is>
          <t>할부(자산취득) 시 취득가액 (세금 포함, 원)</t>
        </is>
      </c>
      <c r="B10" s="11" t="n">
        <v>33340000</v>
      </c>
    </row>
    <row r="11">
      <c r="A11" s="8" t="inlineStr">
        <is>
          <t>감가상각 내용연수 (년, 정액법)</t>
        </is>
      </c>
      <c r="B11" s="12" t="n">
        <v>5</v>
      </c>
    </row>
    <row r="12">
      <c r="A12" s="8" t="inlineStr">
        <is>
          <t>할부 연간 이자비용 (원)</t>
        </is>
      </c>
      <c r="B12" s="11" t="n">
        <v>950000</v>
      </c>
    </row>
    <row r="13">
      <c r="A13" s="8" t="inlineStr">
        <is>
          <t>연간 리스료 (부가세 포함, 원)</t>
        </is>
      </c>
      <c r="B13" s="11" t="n">
        <v>4860000</v>
      </c>
    </row>
    <row r="14">
      <c r="A14" s="8" t="inlineStr">
        <is>
          <t>리스 매입세액공제 가능 여부 (가능/불가능)</t>
        </is>
      </c>
      <c r="B14" s="13" t="inlineStr">
        <is>
          <t>불가능</t>
        </is>
      </c>
    </row>
    <row r="15">
      <c r="A15" s="8" t="inlineStr">
        <is>
          <t>적용 세율 (법인세 또는 소득세 한계세율, %, 숫자만)</t>
        </is>
      </c>
      <c r="B15" s="12" t="n">
        <v>19</v>
      </c>
    </row>
    <row r="17">
      <c r="A17" s="6" t="inlineStr">
        <is>
          <t>③ 계산 결과 — 할부(자산취득) 절세효과</t>
        </is>
      </c>
    </row>
    <row r="18">
      <c r="A18" s="8" t="inlineStr">
        <is>
          <t>연간 감가상각비 (한도 적용 전, 취득가액÷내용연수)</t>
        </is>
      </c>
      <c r="B18" s="14">
        <f>ROUND(B10/B11,0)</f>
        <v/>
      </c>
    </row>
    <row r="19">
      <c r="A19" s="8" t="inlineStr">
        <is>
          <t>손금 인정 감가상각비 (한도 800만원 적용)</t>
        </is>
      </c>
      <c r="B19" s="14">
        <f>MIN(B18,B6)</f>
        <v/>
      </c>
    </row>
    <row r="20">
      <c r="A20" s="8" t="inlineStr">
        <is>
          <t>한도 초과분 (다음해 이월 손금산입 대상)</t>
        </is>
      </c>
      <c r="B20" s="14">
        <f>MAX(0,B18-B19)</f>
        <v/>
      </c>
    </row>
    <row r="21">
      <c r="A21" s="8" t="inlineStr">
        <is>
          <t>손금 인정액 합계 (감가상각비+이자비용, 이자는 별도 한도 없음)</t>
        </is>
      </c>
      <c r="B21" s="14">
        <f>B19+B12</f>
        <v/>
      </c>
    </row>
    <row r="22">
      <c r="A22" s="8" t="inlineStr">
        <is>
          <t>할부 절세효과 (연, 손금 인정액 × 세율)</t>
        </is>
      </c>
      <c r="B22" s="15">
        <f>ROUND(B21*B15/100,0)</f>
        <v/>
      </c>
    </row>
    <row r="24">
      <c r="A24" s="6" t="inlineStr">
        <is>
          <t>④ 계산 결과 — 리스 절세효과</t>
        </is>
      </c>
    </row>
    <row r="25">
      <c r="A25" s="8" t="inlineStr">
        <is>
          <t>리스료 공급가액 (부가세 제외, 연간리스료÷1.1)</t>
        </is>
      </c>
      <c r="B25" s="14">
        <f>ROUND(B13/1.1,0)</f>
        <v/>
      </c>
    </row>
    <row r="26">
      <c r="A26" s="8" t="inlineStr">
        <is>
          <t>부가세 환급액 (매입세액공제 가능 시만 발생)</t>
        </is>
      </c>
      <c r="B26" s="14">
        <f>IF(B14="가능",B13-B25,0)</f>
        <v/>
      </c>
    </row>
    <row r="27">
      <c r="A27" s="8" t="inlineStr">
        <is>
          <t>비용 처리 가능액 (가능=공급가액만 / 불가능=리스료 전액)</t>
        </is>
      </c>
      <c r="B27" s="14">
        <f>IF(B14="가능",B25,B13)</f>
        <v/>
      </c>
    </row>
    <row r="28">
      <c r="A28" s="8" t="inlineStr">
        <is>
          <t>손금 인정 비용 처리액 (한도 1,500만원 적용)</t>
        </is>
      </c>
      <c r="B28" s="14">
        <f>MIN(B27,B7)</f>
        <v/>
      </c>
    </row>
    <row r="29">
      <c r="A29" s="8" t="inlineStr">
        <is>
          <t>법인세(소득세) 절감액 (손금 인정 비용처리액 × 세율)</t>
        </is>
      </c>
      <c r="B29" s="14">
        <f>ROUND(B28*B15/100,0)</f>
        <v/>
      </c>
    </row>
    <row r="30">
      <c r="A30" s="8" t="inlineStr">
        <is>
          <t>리스 절세효과 합계 (연, 법인세 절감액+부가세 환급액)</t>
        </is>
      </c>
      <c r="B30" s="15">
        <f>B29+B26</f>
        <v/>
      </c>
    </row>
    <row r="32">
      <c r="A32" s="6" t="inlineStr">
        <is>
          <t>⑤ 할부 vs 리스 비교</t>
        </is>
      </c>
    </row>
    <row r="33">
      <c r="A33" s="7" t="inlineStr">
        <is>
          <t>구매 방식</t>
        </is>
      </c>
      <c r="B33" s="7" t="inlineStr">
        <is>
          <t>연간 절세효과</t>
        </is>
      </c>
    </row>
    <row r="34">
      <c r="A34" s="8" t="inlineStr">
        <is>
          <t>할부(자산취득)</t>
        </is>
      </c>
      <c r="B34" s="14">
        <f>B22</f>
        <v/>
      </c>
    </row>
    <row r="35">
      <c r="A35" s="8" t="inlineStr">
        <is>
          <t>리스</t>
        </is>
      </c>
      <c r="B35" s="14">
        <f>B30</f>
        <v/>
      </c>
    </row>
    <row r="36">
      <c r="A36" s="8" t="inlineStr">
        <is>
          <t>차이 (리스 − 할부)</t>
        </is>
      </c>
      <c r="B36" s="15">
        <f>B35-B34</f>
        <v/>
      </c>
    </row>
    <row r="38">
      <c r="A38" s="16" t="inlineStr">
        <is>
          <t>참고</t>
        </is>
      </c>
    </row>
    <row r="39">
      <c r="A39" s="17" t="inlineStr">
        <is>
          <t>비영업용 승용차는 부가가치세 매입세액공제가 원칙적으로 제한됩니다(배기량 1,000cc 초과 등 세법상 요건). 감가상각비·관련비용 손금 한도, 업무전용자동차보험 가입 요건은 매년 세법 개정에 따라 바뀔 수 있으므로, 실제 적용 전 반드시 세무사 확인을 거쳐야 합니다. 본 계산기는 일반적인 원칙에 따른 추정치이며 확정 세액이 아닙니다.</t>
        </is>
      </c>
    </row>
  </sheetData>
  <mergeCells count="1"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2026-10-05T21:27:33Z</dcterms:created>
  <dcterms:modified xmlns:dcterms="http://purl.org/dc/terms/" xmlns:xsi="http://www.w3.org/2001/XMLSchema-instance" xsi:type="dcterms:W3CDTF">2026-10-05T21:27:33Z</dcterms:modified>
</cp:coreProperties>
</file>