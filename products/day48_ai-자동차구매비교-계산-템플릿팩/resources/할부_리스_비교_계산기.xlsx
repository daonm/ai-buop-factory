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%"/>
  </numFmts>
  <fonts count="10">
    <font>
      <name val="Calibri"/>
      <family val="2"/>
      <color theme="1"/>
      <sz val="11"/>
      <scheme val="minor"/>
    </font>
    <font>
      <b val="1"/>
      <color rgb="00262C3D"/>
      <sz val="13"/>
    </font>
    <font>
      <color rgb="00262C3D"/>
      <sz val="11"/>
    </font>
    <font>
      <b val="1"/>
      <color rgb="00262C3D"/>
    </font>
    <font>
      <b val="1"/>
      <color rgb="00FFFFFF"/>
    </font>
    <font>
      <color rgb="00262C3D"/>
    </font>
    <font>
      <color rgb="00565F72"/>
      <sz val="10"/>
    </font>
    <font>
      <b val="1"/>
      <color rgb="00262C3D"/>
      <sz val="14"/>
    </font>
    <font>
      <b val="1"/>
      <color rgb="00B87F1F"/>
    </font>
    <font>
      <i val="1"/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5" fillId="3" borderId="0" pivotButton="0" quotePrefix="0" xfId="0"/>
    <xf numFmtId="1" fontId="5" fillId="3" borderId="0" pivotButton="0" quotePrefix="0" xfId="0"/>
    <xf numFmtId="165" fontId="5" fillId="3" borderId="0" pivotButton="0" quotePrefix="0" xfId="0"/>
    <xf numFmtId="3" fontId="5" fillId="4" borderId="0" pivotButton="0" quotePrefix="0" xfId="0"/>
    <xf numFmtId="166" fontId="5" fillId="4" borderId="0" pivotButton="0" quotePrefix="0" xfId="0"/>
    <xf numFmtId="3" fontId="3" fillId="4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할부·리스 월 납입금 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할부(원리금균등상환)와 리스(보증금·잔존가치 반영) 두 방식의 월 납입금을 같은 기준으로 비교하는 참고용 도구입니다.</t>
        </is>
      </c>
    </row>
    <row r="6">
      <c r="B6" s="3" t="inlineStr">
        <is>
          <t>실제 금리·보증금·잔존가치율은 금융사·리스사·신용등급에 따라 달라지므로, 상담 전 반드시 정식 견적과 대조하세요.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'실구매가_취득세_계산기.xlsx'에서 계산한 총 실구매가를 ②, ⑤ 조건 입력의 '차량가'에 그대로 입력</t>
        </is>
      </c>
    </row>
    <row r="10">
      <c r="B10" s="3" t="inlineStr">
        <is>
          <t>② 노란색 칸에 선수금 비율·금리·기간(할부) 또는 보증금·잔존가치율·리스이자율(리스)을 입력</t>
        </is>
      </c>
    </row>
    <row r="11">
      <c r="B11" s="3" t="inlineStr">
        <is>
          <t>③ 올리브색 칸에서 월 납입금·총 이자·실질 부담액이 자동 계산됨</t>
        </is>
      </c>
    </row>
    <row r="12">
      <c r="B12" s="3" t="inlineStr">
        <is>
          <t>④ ④·⑦의 민감도 표로 금리·잔존가치율이 바뀔 때 월 납입금이 어떻게 달라지는지 확인</t>
        </is>
      </c>
    </row>
    <row r="13">
      <c r="B13" s="3" t="inlineStr">
        <is>
          <t>⑤ 결과를 '5년_총비용_TCO_비교_계산기.xlsx'의 할부·리스 조건 입력값으로 그대로 옮겨 사용</t>
        </is>
      </c>
    </row>
    <row r="15">
      <c r="B15" s="4" t="inlineStr">
        <is>
          <t>월 납입금은 금리·보증금·잔존가치 가정에 따라 달라지는 '현재 기준 추정치'입니다. 의뢰인에게 안내할 때 항상 추정치임을 함께 전달하세요.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4" customWidth="1" min="4" max="4"/>
  </cols>
  <sheetData>
    <row r="1">
      <c r="A1" s="5" t="inlineStr">
        <is>
          <t>할부·리스 월 납입금 비교 계산기</t>
        </is>
      </c>
    </row>
    <row r="3">
      <c r="A3" s="6" t="inlineStr">
        <is>
          <t>① 신용등급별 할부 금리 참고표 (2026년 기준, 캐피탈사 평균)</t>
        </is>
      </c>
    </row>
    <row r="4">
      <c r="A4" s="7" t="inlineStr">
        <is>
          <t>신용 구간</t>
        </is>
      </c>
      <c r="B4" s="7" t="inlineStr">
        <is>
          <t>연 금리</t>
        </is>
      </c>
    </row>
    <row r="5">
      <c r="A5" s="8" t="inlineStr">
        <is>
          <t>우량 (1~3등급 수준)</t>
        </is>
      </c>
      <c r="B5" s="9" t="n">
        <v>0.045</v>
      </c>
    </row>
    <row r="6">
      <c r="A6" s="8" t="inlineStr">
        <is>
          <t>일반 (4~6등급 수준)</t>
        </is>
      </c>
      <c r="B6" s="9" t="n">
        <v>0.06</v>
      </c>
    </row>
    <row r="7">
      <c r="A7" s="8" t="inlineStr">
        <is>
          <t>주의 (7등급 이하)</t>
        </is>
      </c>
      <c r="B7" s="9" t="n">
        <v>0.075</v>
      </c>
    </row>
    <row r="9">
      <c r="A9" s="6" t="inlineStr">
        <is>
          <t>② 할부 조건 입력</t>
        </is>
      </c>
    </row>
    <row r="10">
      <c r="A10" s="8" t="inlineStr">
        <is>
          <t>차량가 (실구매가 계산기 결과, 원)</t>
        </is>
      </c>
      <c r="B10" s="10" t="n">
        <v>33340000</v>
      </c>
    </row>
    <row r="11">
      <c r="A11" s="8" t="inlineStr">
        <is>
          <t>선수금 비율 (%, 숫자만)</t>
        </is>
      </c>
      <c r="B11" s="11" t="n">
        <v>30</v>
      </c>
    </row>
    <row r="12">
      <c r="A12" s="8" t="inlineStr">
        <is>
          <t>할부 연 금리 (%, 숫자만)</t>
        </is>
      </c>
      <c r="B12" s="12" t="n">
        <v>4.5</v>
      </c>
    </row>
    <row r="13">
      <c r="A13" s="8" t="inlineStr">
        <is>
          <t>할부 기간 (개월)</t>
        </is>
      </c>
      <c r="B13" s="11" t="n">
        <v>60</v>
      </c>
    </row>
    <row r="15">
      <c r="A15" s="6" t="inlineStr">
        <is>
          <t>③ 계산 결과 — 할부</t>
        </is>
      </c>
    </row>
    <row r="16">
      <c r="A16" s="8" t="inlineStr">
        <is>
          <t>선수금 (원)</t>
        </is>
      </c>
      <c r="B16" s="13">
        <f>ROUND(B10*B11/100,0)</f>
        <v/>
      </c>
    </row>
    <row r="17">
      <c r="A17" s="8" t="inlineStr">
        <is>
          <t>할부 원금 (차량가 − 선수금)</t>
        </is>
      </c>
      <c r="B17" s="13">
        <f>B10-B16</f>
        <v/>
      </c>
    </row>
    <row r="18">
      <c r="A18" s="8" t="inlineStr">
        <is>
          <t>월 금리 (연 금리 ÷ 12)</t>
        </is>
      </c>
      <c r="B18" s="14">
        <f>B12/100/12</f>
        <v/>
      </c>
    </row>
    <row r="19">
      <c r="A19" s="8" t="inlineStr">
        <is>
          <t>월 납입금 (원리금균등상환)</t>
        </is>
      </c>
      <c r="B19" s="15">
        <f>ROUND(B17*B18/(1-(1+B18)^(-B13)),0)</f>
        <v/>
      </c>
    </row>
    <row r="20">
      <c r="A20" s="8" t="inlineStr">
        <is>
          <t>총 납입액 (월 납입금 × 기간)</t>
        </is>
      </c>
      <c r="B20" s="13">
        <f>B19*B13</f>
        <v/>
      </c>
    </row>
    <row r="21">
      <c r="A21" s="8" t="inlineStr">
        <is>
          <t>총 이자 (총 납입액 − 할부 원금)</t>
        </is>
      </c>
      <c r="B21" s="15">
        <f>B20-B17</f>
        <v/>
      </c>
    </row>
    <row r="24">
      <c r="A24" s="6" t="inlineStr">
        <is>
          <t>④ 할부 금리별 민감도 (선수금·기간 동일, 금리만 변경)</t>
        </is>
      </c>
    </row>
    <row r="25">
      <c r="A25" s="7" t="inlineStr">
        <is>
          <t>연 금리</t>
        </is>
      </c>
      <c r="B25" s="7" t="inlineStr">
        <is>
          <t>월 납입금</t>
        </is>
      </c>
      <c r="C25" s="7" t="inlineStr">
        <is>
          <t>총 이자</t>
        </is>
      </c>
      <c r="D25" s="7" t="inlineStr">
        <is>
          <t>총 납입액</t>
        </is>
      </c>
    </row>
    <row r="26">
      <c r="A26" s="8" t="inlineStr">
        <is>
          <t>연 4.5%</t>
        </is>
      </c>
      <c r="B26" s="13">
        <f>ROUND(B17*(4.5/100/12)/(1-(1+(4.5/100/12))^(-B13)),0)</f>
        <v/>
      </c>
      <c r="C26" s="13">
        <f>B26*B13-B17</f>
        <v/>
      </c>
      <c r="D26" s="13">
        <f>B26*B13</f>
        <v/>
      </c>
    </row>
    <row r="27">
      <c r="A27" s="8" t="inlineStr">
        <is>
          <t>연 5.5%</t>
        </is>
      </c>
      <c r="B27" s="13">
        <f>ROUND(B17*(5.5/100/12)/(1-(1+(5.5/100/12))^(-B13)),0)</f>
        <v/>
      </c>
      <c r="C27" s="13">
        <f>B27*B13-B17</f>
        <v/>
      </c>
      <c r="D27" s="13">
        <f>B27*B13</f>
        <v/>
      </c>
    </row>
    <row r="28">
      <c r="A28" s="8" t="inlineStr">
        <is>
          <t>연 6.5%</t>
        </is>
      </c>
      <c r="B28" s="13">
        <f>ROUND(B17*(6.5/100/12)/(1-(1+(6.5/100/12))^(-B13)),0)</f>
        <v/>
      </c>
      <c r="C28" s="13">
        <f>B28*B13-B17</f>
        <v/>
      </c>
      <c r="D28" s="13">
        <f>B28*B13</f>
        <v/>
      </c>
    </row>
    <row r="29">
      <c r="A29" s="8" t="inlineStr">
        <is>
          <t>연 7.5%</t>
        </is>
      </c>
      <c r="B29" s="13">
        <f>ROUND(B17*(7.5/100/12)/(1-(1+(7.5/100/12))^(-B13)),0)</f>
        <v/>
      </c>
      <c r="C29" s="13">
        <f>B29*B13-B17</f>
        <v/>
      </c>
      <c r="D29" s="13">
        <f>B29*B13</f>
        <v/>
      </c>
    </row>
    <row r="31">
      <c r="A31" s="6" t="inlineStr">
        <is>
          <t>⑤ 리스 조건 입력</t>
        </is>
      </c>
    </row>
    <row r="32">
      <c r="A32" s="8" t="inlineStr">
        <is>
          <t>차량가 (실구매가 계산기 결과, 원)</t>
        </is>
      </c>
      <c r="B32" s="10" t="n">
        <v>33340000</v>
      </c>
    </row>
    <row r="33">
      <c r="A33" s="8" t="inlineStr">
        <is>
          <t>보증금 비율 (%, 숫자만)</t>
        </is>
      </c>
      <c r="B33" s="11" t="n">
        <v>10</v>
      </c>
    </row>
    <row r="34">
      <c r="A34" s="8" t="inlineStr">
        <is>
          <t>리스 기간 (개월)</t>
        </is>
      </c>
      <c r="B34" s="11" t="n">
        <v>60</v>
      </c>
    </row>
    <row r="35">
      <c r="A35" s="8" t="inlineStr">
        <is>
          <t>예상 잔존가치율 (%, 숫자만)</t>
        </is>
      </c>
      <c r="B35" s="11" t="n">
        <v>40</v>
      </c>
    </row>
    <row r="36">
      <c r="A36" s="8" t="inlineStr">
        <is>
          <t>리스 이자율 (%, 숫자만, 연)</t>
        </is>
      </c>
      <c r="B36" s="12" t="n">
        <v>6</v>
      </c>
    </row>
    <row r="37">
      <c r="A37" s="8" t="inlineStr">
        <is>
          <t>사업자 여부 (사업자/개인)</t>
        </is>
      </c>
      <c r="B37" s="16" t="inlineStr">
        <is>
          <t>개인</t>
        </is>
      </c>
    </row>
    <row r="39">
      <c r="A39" s="6" t="inlineStr">
        <is>
          <t>⑥ 계산 결과 — 리스</t>
        </is>
      </c>
    </row>
    <row r="40">
      <c r="A40" s="8" t="inlineStr">
        <is>
          <t>보증금 (원)</t>
        </is>
      </c>
      <c r="B40" s="13">
        <f>ROUND(B32*B33/100,0)</f>
        <v/>
      </c>
    </row>
    <row r="41">
      <c r="A41" s="8" t="inlineStr">
        <is>
          <t>잔존가치 금액 (만기 예상 차량 가치)</t>
        </is>
      </c>
      <c r="B41" s="13">
        <f>ROUND(B32*B35/100,0)</f>
        <v/>
      </c>
    </row>
    <row r="42">
      <c r="A42" s="8" t="inlineStr">
        <is>
          <t>리스 월 금리 (연 이자율 ÷ 12)</t>
        </is>
      </c>
      <c r="B42" s="14">
        <f>B36/100/12</f>
        <v/>
      </c>
    </row>
    <row r="43">
      <c r="A43" s="8" t="inlineStr">
        <is>
          <t>잔존가치 현재가치 (만기 잔존가치 ÷ (1+월금리)^기간)</t>
        </is>
      </c>
      <c r="B43" s="13">
        <f>B41/(1+B42)^B34</f>
        <v/>
      </c>
    </row>
    <row r="44">
      <c r="A44" s="8" t="inlineStr">
        <is>
          <t>금융 원금 (차량가 − 보증금 − 잔존가치 현재가치)</t>
        </is>
      </c>
      <c r="B44" s="13">
        <f>B32-B40-B43</f>
        <v/>
      </c>
    </row>
    <row r="45">
      <c r="A45" s="8" t="inlineStr">
        <is>
          <t>월 리스료 (세전)</t>
        </is>
      </c>
      <c r="B45" s="15">
        <f>ROUND(B44*B42/(1-(1+B42)^(-B34)),0)</f>
        <v/>
      </c>
    </row>
    <row r="46">
      <c r="A46" s="8" t="inlineStr">
        <is>
          <t>사업자 부가세 환급분 (월 리스료 × 10/110, 사업자만)</t>
        </is>
      </c>
      <c r="B46" s="13">
        <f>IF(B37="사업자",ROUND(B45*10/110,0),0)</f>
        <v/>
      </c>
    </row>
    <row r="47">
      <c r="A47" s="8" t="inlineStr">
        <is>
          <t>실질 월 부담액 (월 리스료 − 부가세 환급분)</t>
        </is>
      </c>
      <c r="B47" s="15">
        <f>B45-B46</f>
        <v/>
      </c>
    </row>
    <row r="48">
      <c r="A48" s="8" t="inlineStr">
        <is>
          <t>만기 인수 시 예상 비용 (= 잔존가치 금액)</t>
        </is>
      </c>
      <c r="B48" s="13">
        <f>B41</f>
        <v/>
      </c>
    </row>
    <row r="50">
      <c r="A50" s="6" t="inlineStr">
        <is>
          <t>⑦ 잔존가치율별 비교 (보증금·기간 동일, 잔존가치율만 변경)</t>
        </is>
      </c>
    </row>
    <row r="51">
      <c r="A51" s="7" t="inlineStr">
        <is>
          <t>잔존가치율</t>
        </is>
      </c>
      <c r="B51" s="7" t="inlineStr">
        <is>
          <t>월 리스료</t>
        </is>
      </c>
      <c r="C51" s="7" t="inlineStr">
        <is>
          <t>만기 인수 예상 비용</t>
        </is>
      </c>
    </row>
    <row r="52">
      <c r="A52" s="8" t="inlineStr">
        <is>
          <t>30%</t>
        </is>
      </c>
      <c r="B52" s="13">
        <f>ROUND((B32-B40-((B32*30/100)/(1+B42)^B34))*B42/(1-(1+B42)^(-B34)),0)</f>
        <v/>
      </c>
      <c r="C52" s="13">
        <f>(B32*30/100)</f>
        <v/>
      </c>
    </row>
    <row r="53">
      <c r="A53" s="8" t="inlineStr">
        <is>
          <t>40%</t>
        </is>
      </c>
      <c r="B53" s="13">
        <f>ROUND((B32-B40-((B32*40/100)/(1+B42)^B34))*B42/(1-(1+B42)^(-B34)),0)</f>
        <v/>
      </c>
      <c r="C53" s="13">
        <f>(B32*40/100)</f>
        <v/>
      </c>
    </row>
    <row r="54">
      <c r="A54" s="8" t="inlineStr">
        <is>
          <t>50%</t>
        </is>
      </c>
      <c r="B54" s="13">
        <f>ROUND((B32-B40-((B32*50/100)/(1+B42)^B34))*B42/(1-(1+B42)^(-B34)),0)</f>
        <v/>
      </c>
      <c r="C54" s="13">
        <f>(B32*50/100)</f>
        <v/>
      </c>
    </row>
    <row r="56">
      <c r="A56" s="6" t="inlineStr">
        <is>
          <t>⑧ 할부 vs 리스 요약 비교</t>
        </is>
      </c>
    </row>
    <row r="57">
      <c r="A57" s="7" t="inlineStr">
        <is>
          <t>항목</t>
        </is>
      </c>
      <c r="B57" s="7" t="inlineStr">
        <is>
          <t>할부</t>
        </is>
      </c>
      <c r="C57" s="7" t="inlineStr">
        <is>
          <t>리스</t>
        </is>
      </c>
    </row>
    <row r="58">
      <c r="A58" s="8" t="inlineStr">
        <is>
          <t>초기 지출</t>
        </is>
      </c>
      <c r="B58" s="13">
        <f>B16</f>
        <v/>
      </c>
      <c r="C58" s="13">
        <f>B40</f>
        <v/>
      </c>
    </row>
    <row r="59">
      <c r="A59" s="8" t="inlineStr">
        <is>
          <t>월 납입금</t>
        </is>
      </c>
      <c r="B59" s="13">
        <f>B19</f>
        <v/>
      </c>
      <c r="C59" s="13">
        <f>B47</f>
        <v/>
      </c>
    </row>
    <row r="60">
      <c r="A60" s="8" t="inlineStr">
        <is>
          <t>만기 시 처리</t>
        </is>
      </c>
      <c r="B60" s="8" t="inlineStr">
        <is>
          <t>소유권 확보 (잔존가치 없음)</t>
        </is>
      </c>
      <c r="C60" s="8" t="inlineStr">
        <is>
          <t>반납 또는 잔존가치만큼 인수</t>
        </is>
      </c>
    </row>
    <row r="62">
      <c r="A62" s="17" t="inlineStr">
        <is>
          <t>참고</t>
        </is>
      </c>
    </row>
    <row r="63">
      <c r="A63" s="18" t="inlineStr">
        <is>
          <t>할부 금리는 신용등급·캐피탈사·프로모션에 따라, 리스 잔존가치·이자율은 리스사·차종에 따라 실제 적용치가 달라집니다. 본 계산기는 입력한 조건 기준의 추정치이며, 정확한 금리·잔존가치는 반드시 금융사·리스사의 정식 견적으로 재확인해야 합니다.</t>
        </is>
      </c>
    </row>
  </sheetData>
  <mergeCells count="1"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2026-10-05T21:26:01Z</dcterms:created>
  <dcterms:modified xmlns:dcterms="http://purl.org/dc/terms/" xmlns:xsi="http://www.w3.org/2001/XMLSchema-instance" xsi:type="dcterms:W3CDTF">2026-10-05T21:26:01Z</dcterms:modified>
</cp:coreProperties>
</file>