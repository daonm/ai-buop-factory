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262C3D"/>
      <sz val="13"/>
    </font>
    <font>
      <color rgb="00262C3D"/>
      <sz val="11"/>
    </font>
    <font>
      <b val="1"/>
      <color rgb="00262C3D"/>
    </font>
    <font>
      <b val="1"/>
      <color rgb="00FFFFFF"/>
    </font>
    <font>
      <color rgb="00262C3D"/>
    </font>
    <font>
      <color rgb="00565F72"/>
      <sz val="10"/>
    </font>
    <font>
      <b val="1"/>
      <color rgb="00262C3D"/>
      <sz val="14"/>
    </font>
    <font>
      <b val="1"/>
      <color rgb="00B87F1F"/>
    </font>
    <font>
      <i val="1"/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10" fontId="2" fillId="0" borderId="0" pivotButton="0" quotePrefix="0" xfId="0"/>
    <xf numFmtId="3" fontId="2" fillId="0" borderId="0" pivotButton="0" quotePrefix="0" xfId="0"/>
    <xf numFmtId="3" fontId="5" fillId="3" borderId="0" pivotButton="0" quotePrefix="0" xfId="0"/>
    <xf numFmtId="164" fontId="5" fillId="3" borderId="0" pivotButton="0" quotePrefix="0" xfId="0"/>
    <xf numFmtId="0" fontId="5" fillId="3" borderId="0" pivotButton="0" quotePrefix="0" xfId="0"/>
    <xf numFmtId="3" fontId="5" fillId="4" borderId="0" pivotButton="0" quotePrefix="0" xfId="0"/>
    <xf numFmtId="3" fontId="3" fillId="4" borderId="0" pivotButton="0" quotePrefix="0" xfId="0"/>
    <xf numFmtId="165" fontId="5" fillId="4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자동차 실구매가·취득세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2026년 기준 취득세율(7%)·지방교육세·개별소비세 탄력세율을 반영해 자동차의 실제 총 구매 비용을 계산하는 참고용 도구입니다.</t>
        </is>
      </c>
    </row>
    <row r="6">
      <c r="B6" s="3" t="inlineStr">
        <is>
          <t>탁송료·개별 옵션가·공채 할인 비용 등은 포함하지 않았으며, 계약 시점 세율은 반드시 재확인해야 합니다. (기준: 2026년 10월 확인)</t>
        </is>
      </c>
    </row>
    <row r="8">
      <c r="B8" s="2" t="inlineStr">
        <is>
          <t>사용법</t>
        </is>
      </c>
    </row>
    <row r="9">
      <c r="B9" s="3" t="inlineStr">
        <is>
          <t>① '계산기' 시트 상단 참고표에서 2026년 취득세율·개별소비세 탄력세율·전기차 감면 한도를 확인</t>
        </is>
      </c>
    </row>
    <row r="10">
      <c r="B10" s="3" t="inlineStr">
        <is>
          <t>② 노란색 칸(② 조건 입력)에 차량 출고가, 가격표 기준/계약 시점 개별소비세율, 전기차 감면 적용 여부를 입력</t>
        </is>
      </c>
    </row>
    <row r="11">
      <c r="B11" s="3" t="inlineStr">
        <is>
          <t>③ 올리브색 칸에서 개소세 반영 차량가 → 취득세·지방교육세 → 총 실구매가까지 자동 계산</t>
        </is>
      </c>
    </row>
    <row r="12">
      <c r="B12" s="3" t="inlineStr">
        <is>
          <t>④ 이 결과(⑤ 총 실구매가)를 '할부_리스_비교_계산기.xlsx'와 '5년_총비용_TCO_비교_계산기.xlsx'의 차량가/실구매가 입력값으로 그대로 옮겨 사용</t>
        </is>
      </c>
    </row>
    <row r="14">
      <c r="B14" s="4" t="inlineStr">
        <is>
          <t>실구매가는 매 분기 바뀔 수 있는 세율·감면 정책에 따라 달라지는 '현재 기준 추정치'입니다. 의뢰인에게 안내할 때 항상 추정치임을 함께 전달하세요.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4" customWidth="1" min="4" max="4"/>
  </cols>
  <sheetData>
    <row r="1">
      <c r="A1" s="5" t="inlineStr">
        <is>
          <t>자동차 실구매가·취득세 계산기 (2026년 기준)</t>
        </is>
      </c>
    </row>
    <row r="3">
      <c r="A3" s="6" t="inlineStr">
        <is>
          <t>① 2026년 세율 참고표</t>
        </is>
      </c>
    </row>
    <row r="4">
      <c r="A4" s="7" t="inlineStr">
        <is>
          <t>항목</t>
        </is>
      </c>
      <c r="B4" s="7" t="inlineStr">
        <is>
          <t>세율/한도</t>
        </is>
      </c>
    </row>
    <row r="5">
      <c r="A5" s="8" t="inlineStr">
        <is>
          <t>취득세율 (비영업용 승용차)</t>
        </is>
      </c>
      <c r="B5" s="9" t="n">
        <v>0.07000000000000001</v>
      </c>
    </row>
    <row r="6">
      <c r="A6" s="8" t="inlineStr">
        <is>
          <t>지방교육세율 (취득세액의 비율)</t>
        </is>
      </c>
      <c r="B6" s="9" t="n">
        <v>0.3</v>
      </c>
    </row>
    <row r="7">
      <c r="A7" s="8" t="inlineStr">
        <is>
          <t>개별소비세 탄력세율 (~2026.6.30)</t>
        </is>
      </c>
      <c r="B7" s="9" t="n">
        <v>0.035</v>
      </c>
    </row>
    <row r="8">
      <c r="A8" s="8" t="inlineStr">
        <is>
          <t>개별소비세 세율 (2026.7.1 복원 이후)</t>
        </is>
      </c>
      <c r="B8" s="9" t="n">
        <v>0.05</v>
      </c>
    </row>
    <row r="9">
      <c r="A9" s="8" t="inlineStr">
        <is>
          <t>개별소비세분 교육세율 (개소세액의 비율)</t>
        </is>
      </c>
      <c r="B9" s="9" t="n">
        <v>0.3</v>
      </c>
    </row>
    <row r="10">
      <c r="A10" s="8" t="inlineStr">
        <is>
          <t>전기차·하이브리드 취득세 감면 한도 (원, 2026.12.31 일몰)</t>
        </is>
      </c>
      <c r="B10" s="10" t="n">
        <v>1400000</v>
      </c>
    </row>
    <row r="12">
      <c r="A12" s="6" t="inlineStr">
        <is>
          <t>② 조건 입력</t>
        </is>
      </c>
    </row>
    <row r="13">
      <c r="A13" s="8" t="inlineStr">
        <is>
          <t>차량 출고가 (현재 가격표 기준, 원)</t>
        </is>
      </c>
      <c r="B13" s="11" t="n">
        <v>30000000</v>
      </c>
    </row>
    <row r="14">
      <c r="A14" s="8" t="inlineStr">
        <is>
          <t>가격표에 이미 반영된 개별소비세율 (%, 숫자만)</t>
        </is>
      </c>
      <c r="B14" s="12" t="n">
        <v>3.5</v>
      </c>
    </row>
    <row r="15">
      <c r="A15" s="8" t="inlineStr">
        <is>
          <t>실제 계약(구매) 시점 적용 개별소비세율 (%, 숫자만)</t>
        </is>
      </c>
      <c r="B15" s="12" t="n">
        <v>5</v>
      </c>
    </row>
    <row r="16">
      <c r="A16" s="8" t="inlineStr">
        <is>
          <t>전기차·하이브리드 취득세 감면 적용 여부 (적용/미적용)</t>
        </is>
      </c>
      <c r="B16" s="13" t="inlineStr">
        <is>
          <t>미적용</t>
        </is>
      </c>
    </row>
    <row r="18">
      <c r="A18" s="6" t="inlineStr">
        <is>
          <t>③ 계산 결과 — 개별소비세 반영 차량가</t>
        </is>
      </c>
    </row>
    <row r="19">
      <c r="A19" s="8" t="inlineStr">
        <is>
          <t>공장도가격 (과세표준, 출고가 ÷ (1+기존세율×1.3))</t>
        </is>
      </c>
      <c r="B19" s="14">
        <f>B13/(1+B14/100*1.3)</f>
        <v/>
      </c>
    </row>
    <row r="20">
      <c r="A20" s="8" t="inlineStr">
        <is>
          <t>적용 시점 개별소비세</t>
        </is>
      </c>
      <c r="B20" s="14">
        <f>ROUND(B19*B15/100,0)</f>
        <v/>
      </c>
    </row>
    <row r="21">
      <c r="A21" s="8" t="inlineStr">
        <is>
          <t>개별소비세분 교육세 (개소세의 30%)</t>
        </is>
      </c>
      <c r="B21" s="14">
        <f>ROUND(B20*B9,0)</f>
        <v/>
      </c>
    </row>
    <row r="22">
      <c r="A22" s="8" t="inlineStr">
        <is>
          <t>신규 출고가 (최종 차량가 = 공장도가+개소세+개소세분교육세)</t>
        </is>
      </c>
      <c r="B22" s="15">
        <f>B19+B20+B21</f>
        <v/>
      </c>
    </row>
    <row r="23">
      <c r="A23" s="8" t="inlineStr">
        <is>
          <t>기존 출고가 대비 차량가 변동분</t>
        </is>
      </c>
      <c r="B23" s="14">
        <f>B22-B13</f>
        <v/>
      </c>
    </row>
    <row r="25">
      <c r="A25" s="6" t="inlineStr">
        <is>
          <t>④ 계산 결과 — 취득세·실구매가</t>
        </is>
      </c>
    </row>
    <row r="26">
      <c r="A26" s="8" t="inlineStr">
        <is>
          <t>취득세 (신규 출고가 × 7%)</t>
        </is>
      </c>
      <c r="B26" s="14">
        <f>ROUND(B22*B5,0)</f>
        <v/>
      </c>
    </row>
    <row r="27">
      <c r="A27" s="8" t="inlineStr">
        <is>
          <t>전기차 취득세 감면액 (한도 140만원)</t>
        </is>
      </c>
      <c r="B27" s="14">
        <f>IF(B16="적용",MIN(B26,B10),0)</f>
        <v/>
      </c>
    </row>
    <row r="28">
      <c r="A28" s="8" t="inlineStr">
        <is>
          <t>실제 납부 취득세 (취득세 − 감면액)</t>
        </is>
      </c>
      <c r="B28" s="14">
        <f>B26-B27</f>
        <v/>
      </c>
    </row>
    <row r="29">
      <c r="A29" s="8" t="inlineStr">
        <is>
          <t>지방교육세 (실제 납부 취득세의 30%)</t>
        </is>
      </c>
      <c r="B29" s="14">
        <f>ROUND(B28*B6,0)</f>
        <v/>
      </c>
    </row>
    <row r="30">
      <c r="A30" s="8" t="inlineStr">
        <is>
          <t>취득 관련 세금 합계 (취득세+지방교육세)</t>
        </is>
      </c>
      <c r="B30" s="15">
        <f>B28+B29</f>
        <v/>
      </c>
    </row>
    <row r="32">
      <c r="A32" s="6" t="inlineStr">
        <is>
          <t>⑤ 최종 실구매가</t>
        </is>
      </c>
    </row>
    <row r="33">
      <c r="A33" s="8" t="inlineStr">
        <is>
          <t>총 실구매가 (신규 출고가 + 취득 관련 세금)</t>
        </is>
      </c>
      <c r="B33" s="15">
        <f>B22+B30</f>
        <v/>
      </c>
    </row>
    <row r="34">
      <c r="A34" s="8" t="inlineStr">
        <is>
          <t>출고가 대비 세금 비중</t>
        </is>
      </c>
      <c r="B34" s="16">
        <f>B30/B22</f>
        <v/>
      </c>
    </row>
    <row r="36">
      <c r="A36" s="17" t="inlineStr">
        <is>
          <t>참고</t>
        </is>
      </c>
    </row>
    <row r="37">
      <c r="A37" s="18" t="inlineStr">
        <is>
          <t>개별소비세 탄력세율·전기차 감면 한도·일몰 시점은 정부 정책에 따라 바뀔 수 있습니다. 계약 직전에는 반드시 국세청 개별소비세 공지와 위택스(wetax.go.kr) 취득세 안내로 최신 세율을 다시 확인하세요. 본 계산기는 비영업용 승용차 기준 참고용 추정치이며, 탁송료·개별 옵션가·공채 할인 비용 등은 포함하지 않았습니다.</t>
        </is>
      </c>
    </row>
  </sheetData>
  <mergeCells count="1">
    <mergeCell ref="A37:D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2026-10-05T21:25:09Z</dcterms:created>
  <dcterms:modified xmlns:dcterms="http://purl.org/dc/terms/" xmlns:xsi="http://www.w3.org/2001/XMLSchema-instance" xsi:type="dcterms:W3CDTF">2026-10-05T21:25:09Z</dcterms:modified>
</cp:coreProperties>
</file>