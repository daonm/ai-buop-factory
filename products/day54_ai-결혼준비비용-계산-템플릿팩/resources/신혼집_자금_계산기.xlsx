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b val="1"/>
      <color rgb="00B87F1F"/>
      <sz val="11"/>
    </font>
    <font>
      <name val="맑은 고딕"/>
      <color rgb="00262C3D"/>
      <sz val="10.5"/>
    </font>
    <font>
      <name val="맑은 고딕"/>
      <color rgb="00565F72"/>
      <sz val="9.5"/>
    </font>
    <font>
      <name val="맑은 고딕"/>
      <b val="1"/>
      <color rgb="00262C3D"/>
      <sz val="10.5"/>
    </font>
    <font>
      <name val="맑은 고딕"/>
      <b val="1"/>
      <color rgb="00FFFFFF"/>
      <sz val="9.5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3" fontId="3" fillId="3" borderId="0" pivotButton="0" quotePrefix="0" xfId="0"/>
    <xf numFmtId="10" fontId="3" fillId="3" borderId="0" pivotButton="0" quotePrefix="0" xfId="0"/>
    <xf numFmtId="3" fontId="5" fillId="4" borderId="0" pivotButton="0" quotePrefix="0" xfId="0"/>
    <xf numFmtId="3" fontId="3" fillId="4" borderId="0" pivotButton="0" quotePrefix="0" xfId="0"/>
    <xf numFmtId="1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신혼집 자금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신혼집 마련 비용(전세/월세/매매)과 대출 상환 계획, 혼인증여재산공제(2024.1.1 이후 증여분부터</t>
        </is>
      </c>
    </row>
    <row r="6">
      <c r="B6" s="3" t="inlineStr">
        <is>
          <t>혼인신고 전후 2년 이내 직계존속 증여 시 기본공제 5,000만원+혼인증여공제 1억원=최대 1.5억원 비과세,</t>
        </is>
      </c>
    </row>
    <row r="7">
      <c r="B7" s="3" t="inlineStr">
        <is>
          <t>양가 합산 최대 3억원)를 반영한 자금 조달 계획을 계산하는 참고용 도구입니다. 결혼 준비 비용(예식·스드메·</t>
        </is>
      </c>
    </row>
    <row r="8">
      <c r="B8" s="3" t="inlineStr">
        <is>
          <t>혼수·신혼여행)과는 완전히 별도의 자금이므로 '결혼준비_예산_계산기.xlsx'와 섞지 말고 따로 관리하세요.</t>
        </is>
      </c>
    </row>
    <row r="10">
      <c r="B10" s="2" t="inlineStr">
        <is>
          <t>사용법</t>
        </is>
      </c>
    </row>
    <row r="11">
      <c r="B11" s="3" t="inlineStr">
        <is>
          <t>① '계산기' 시트에서 주거 유형과 주택가액(또는 전세보증금)을 입력하면 초기 필요 자금이 계산됩니다.</t>
        </is>
      </c>
    </row>
    <row r="12">
      <c r="B12" s="3" t="inlineStr">
        <is>
          <t>② 자기자금과 양가 부모의 증여예정금액을 입력하면 혼인증여재산공제 적용 여부와 비과세·과세 대상 증여액,</t>
        </is>
      </c>
    </row>
    <row r="13">
      <c r="B13" s="3" t="inlineStr">
        <is>
          <t xml:space="preserve">   예상 증여세까지 자동 계산됩니다.</t>
        </is>
      </c>
    </row>
    <row r="14">
      <c r="B14" s="3" t="inlineStr">
        <is>
          <t>③ 부족한 자금(대출 필요액)이 자동으로 나오면, 실제 대출받을 금액·금리·기간을 입력해 원리금균등상환</t>
        </is>
      </c>
    </row>
    <row r="15">
      <c r="B15" s="3" t="inlineStr">
        <is>
          <t xml:space="preserve">   방식의 월 상환액과 총 이자액까지 확인하세요.</t>
        </is>
      </c>
    </row>
    <row r="17">
      <c r="B17" s="4" t="inlineStr">
        <is>
          <t>이 계산기는 확정 금액이 아니라 참고용 추정치입니다. 대출 한도는 LTV·DSR 등 규제와 개인 신용도에 따라 실제 은행 심사 결과와 다를 수 있고, 혼인증여재산공제의 기간·한도·중복 여부는 세부 요건이 있어 법 개정으로 바뀔 수 있습니다. 큰 금액을 증여받을 계획이라면 국세청 홈택스(hometax.go.kr)나 세무사 확인을 반드시 권장하세요.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신혼집 자금 계산기</t>
        </is>
      </c>
    </row>
    <row r="3">
      <c r="A3" s="5" t="inlineStr">
        <is>
          <t>① 증여세·상속세 공통 누진세율표 (혼인증여공제 초과분 계산에 사용, 참고)</t>
        </is>
      </c>
    </row>
    <row r="4">
      <c r="A4" s="6" t="inlineStr">
        <is>
          <t>과세표준 구간 시작(원)</t>
        </is>
      </c>
      <c r="B4" s="6" t="inlineStr">
        <is>
          <t>적용 세율</t>
        </is>
      </c>
      <c r="C4" s="6" t="inlineStr">
        <is>
          <t>누진공제액(원)</t>
        </is>
      </c>
    </row>
    <row r="5">
      <c r="A5" s="7" t="n">
        <v>0</v>
      </c>
      <c r="B5" s="8" t="n">
        <v>0.1</v>
      </c>
      <c r="C5" s="7" t="n">
        <v>0</v>
      </c>
    </row>
    <row r="6">
      <c r="A6" s="7" t="n">
        <v>100000000</v>
      </c>
      <c r="B6" s="8" t="n">
        <v>0.2</v>
      </c>
      <c r="C6" s="7" t="n">
        <v>10000000</v>
      </c>
    </row>
    <row r="7">
      <c r="A7" s="7" t="n">
        <v>500000000</v>
      </c>
      <c r="B7" s="8" t="n">
        <v>0.3</v>
      </c>
      <c r="C7" s="7" t="n">
        <v>60000000</v>
      </c>
    </row>
    <row r="8">
      <c r="A8" s="7" t="n">
        <v>1000000000</v>
      </c>
      <c r="B8" s="8" t="n">
        <v>0.4</v>
      </c>
      <c r="C8" s="7" t="n">
        <v>160000000</v>
      </c>
    </row>
    <row r="9">
      <c r="A9" s="7" t="n">
        <v>3000000000</v>
      </c>
      <c r="B9" s="8" t="n">
        <v>0.5</v>
      </c>
      <c r="C9" s="7" t="n">
        <v>460000000</v>
      </c>
    </row>
    <row r="11">
      <c r="A11" s="5" t="inlineStr">
        <is>
          <t>② 신혼집 유형과 초기 필요 자금 입력</t>
        </is>
      </c>
    </row>
    <row r="12">
      <c r="A12" s="9" t="inlineStr">
        <is>
          <t>주거 유형 (전세 / 월세 / 매매)</t>
        </is>
      </c>
      <c r="B12" s="10" t="inlineStr">
        <is>
          <t>매매</t>
        </is>
      </c>
    </row>
    <row r="13">
      <c r="A13" s="3" t="inlineStr">
        <is>
          <t>주택가액 또는 전세보증금 (원)</t>
        </is>
      </c>
      <c r="B13" s="11" t="n">
        <v>450000000</v>
      </c>
    </row>
    <row r="14">
      <c r="A14" s="3" t="inlineStr">
        <is>
          <t>월세 (해당 시, 원 — 전세/매매면 0)</t>
        </is>
      </c>
      <c r="B14" s="11" t="n">
        <v>0</v>
      </c>
    </row>
    <row r="15">
      <c r="A15" s="3" t="inlineStr">
        <is>
          <t>취득세 등 부대비용율 (%, 매매 시만 — 전세/월세면 0%)</t>
        </is>
      </c>
      <c r="B15" s="12" t="n">
        <v>0.033</v>
      </c>
    </row>
    <row r="16">
      <c r="A16" s="3" t="inlineStr">
        <is>
          <t>부대비용 (주택가액 × 부대비용율, 원)</t>
        </is>
      </c>
      <c r="B16" s="13">
        <f>B13*B15</f>
        <v/>
      </c>
    </row>
    <row r="17">
      <c r="A17" s="3" t="inlineStr">
        <is>
          <t>★ 초기 필요 자금 총액 (원)</t>
        </is>
      </c>
      <c r="B17" s="13">
        <f>B13+B16</f>
        <v/>
      </c>
    </row>
    <row r="19">
      <c r="A19" s="5" t="inlineStr">
        <is>
          <t>③ 자금 조달 — 자기자금과 양가 부모 증여예정금액 입력</t>
        </is>
      </c>
    </row>
    <row r="20">
      <c r="A20" s="3" t="inlineStr">
        <is>
          <t>자기자금 (원)</t>
        </is>
      </c>
      <c r="B20" s="11" t="n">
        <v>100000000</v>
      </c>
    </row>
    <row r="21">
      <c r="A21" s="3" t="inlineStr">
        <is>
          <t>신랑측 부모 증여예정금액 (원)</t>
        </is>
      </c>
      <c r="B21" s="11" t="n">
        <v>200000000</v>
      </c>
    </row>
    <row r="22">
      <c r="A22" s="3" t="inlineStr">
        <is>
          <t>신부측 부모 증여예정금액 (원)</t>
        </is>
      </c>
      <c r="B22" s="11" t="n">
        <v>50000000</v>
      </c>
    </row>
    <row r="23">
      <c r="A23" s="9" t="inlineStr">
        <is>
          <t>증여 시점이 혼인신고일 전 2년~후 2년(총 4년) 이내인가요?</t>
        </is>
      </c>
      <c r="B23" s="10" t="inlineStr">
        <is>
          <t>예</t>
        </is>
      </c>
    </row>
    <row r="25">
      <c r="A25" s="5" t="inlineStr">
        <is>
          <t>④ 혼인증여재산공제 적용 (기본공제 5,000만원 + 혼인증여공제 1억원 = 최대 1.5억원, 양가 합산 최대 3억원)</t>
        </is>
      </c>
    </row>
    <row r="26">
      <c r="A26" s="6" t="inlineStr">
        <is>
          <t>구분</t>
        </is>
      </c>
      <c r="B26" s="6" t="inlineStr">
        <is>
          <t>신랑측</t>
        </is>
      </c>
      <c r="C26" s="6" t="inlineStr">
        <is>
          <t>신부측</t>
        </is>
      </c>
    </row>
    <row r="27">
      <c r="A27" s="9" t="inlineStr">
        <is>
          <t>증여예정금액 (원)</t>
        </is>
      </c>
      <c r="B27" s="14">
        <f>B21</f>
        <v/>
      </c>
      <c r="C27" s="14">
        <f>B22</f>
        <v/>
      </c>
    </row>
    <row r="28">
      <c r="A28" s="9" t="inlineStr">
        <is>
          <t>공제 한도 (혼인공제 요건 충족 시 1.5억, 아니면 5천만, 원)</t>
        </is>
      </c>
      <c r="B28" s="14">
        <f>IF($B$23="예",150000000,50000000)</f>
        <v/>
      </c>
      <c r="C28" s="14">
        <f>IF($B$23="예",150000000,50000000)</f>
        <v/>
      </c>
    </row>
    <row r="29">
      <c r="A29" s="9" t="inlineStr">
        <is>
          <t>비과세 증여액 (MIN(증여예정금액,공제한도), 원)</t>
        </is>
      </c>
      <c r="B29" s="14">
        <f>MIN(B27,B28)</f>
        <v/>
      </c>
      <c r="C29" s="14">
        <f>MIN(C27,C28)</f>
        <v/>
      </c>
    </row>
    <row r="30">
      <c r="A30" s="9" t="inlineStr">
        <is>
          <t>과세 대상 증여액 (증여예정금액-비과세, 원)</t>
        </is>
      </c>
      <c r="B30" s="14">
        <f>MAX(B27-B29,0)</f>
        <v/>
      </c>
      <c r="C30" s="14">
        <f>MAX(C27-C29,0)</f>
        <v/>
      </c>
    </row>
    <row r="31">
      <c r="A31" s="9" t="inlineStr">
        <is>
          <t>적용 세율 (과세대상액 기준, 10년 내 추가 증여 없다고 가정)</t>
        </is>
      </c>
      <c r="B31" s="15">
        <f>VLOOKUP(B30,A5:C9,2,TRUE)</f>
        <v/>
      </c>
      <c r="C31" s="15">
        <f>VLOOKUP(C30,A5:C9,2,TRUE)</f>
        <v/>
      </c>
    </row>
    <row r="32">
      <c r="A32" s="9" t="inlineStr">
        <is>
          <t>누진공제액 (원)</t>
        </is>
      </c>
      <c r="B32" s="14">
        <f>VLOOKUP(B30,A5:C9,3,TRUE)</f>
        <v/>
      </c>
      <c r="C32" s="14">
        <f>VLOOKUP(C30,A5:C9,3,TRUE)</f>
        <v/>
      </c>
    </row>
    <row r="33">
      <c r="A33" s="9" t="inlineStr">
        <is>
          <t>산출세액 (과세대상×세율-누진공제, 원)</t>
        </is>
      </c>
      <c r="B33" s="14">
        <f>MAX(B30*B31-B32,0)</f>
        <v/>
      </c>
      <c r="C33" s="14">
        <f>MAX(C30*C31-C32,0)</f>
        <v/>
      </c>
    </row>
    <row r="34">
      <c r="A34" s="5" t="inlineStr">
        <is>
          <t>★ 최종 납부 증여세 (신고세액공제 3% 반영, 원)</t>
        </is>
      </c>
      <c r="B34" s="13">
        <f>B33*0.97</f>
        <v/>
      </c>
      <c r="C34" s="13">
        <f>C33*0.97</f>
        <v/>
      </c>
    </row>
    <row r="36">
      <c r="A36" s="5" t="inlineStr">
        <is>
          <t>⑤ 최종 자금 조달 계획 (부모 지원 + 자기자금 vs 초기 필요 자금)</t>
        </is>
      </c>
    </row>
    <row r="37">
      <c r="A37" s="3" t="inlineStr">
        <is>
          <t>양가 부모 증여예정금액 합계 (원)</t>
        </is>
      </c>
      <c r="B37" s="13">
        <f>B27+C27</f>
        <v/>
      </c>
    </row>
    <row r="38">
      <c r="A38" s="3" t="inlineStr">
        <is>
          <t>양가 합산 최종 납부 증여세 (원)</t>
        </is>
      </c>
      <c r="B38" s="13">
        <f>B34+C34</f>
        <v/>
      </c>
    </row>
    <row r="39">
      <c r="A39" s="3" t="inlineStr">
        <is>
          <t>보유 자금 합계 (자기자금+부모지원 합계-증여세, 원)</t>
        </is>
      </c>
      <c r="B39" s="13">
        <f>B20+B37-B38</f>
        <v/>
      </c>
    </row>
    <row r="40">
      <c r="A40" s="3" t="inlineStr">
        <is>
          <t>★ 부족 자금 (대출 필요액, 초기 필요 자금-보유 자금 합계, 원)</t>
        </is>
      </c>
      <c r="B40" s="13">
        <f>MAX(B17-B39,0)</f>
        <v/>
      </c>
    </row>
    <row r="42">
      <c r="A42" s="5" t="inlineStr">
        <is>
          <t>⑥ 대출 상환 계산 (원리금균등상환 방식)</t>
        </is>
      </c>
    </row>
    <row r="43">
      <c r="A43" s="3" t="inlineStr">
        <is>
          <t>실제 대출받을 금액 (원, 위 부족 자금을 참고해 직접 입력)</t>
        </is>
      </c>
      <c r="B43" s="11" t="n">
        <v>120000000</v>
      </c>
    </row>
    <row r="44">
      <c r="A44" s="3" t="inlineStr">
        <is>
          <t>연 금리 (%)</t>
        </is>
      </c>
      <c r="B44" s="12" t="n">
        <v>0.042</v>
      </c>
    </row>
    <row r="45">
      <c r="A45" s="3" t="inlineStr">
        <is>
          <t>대출 기간 (년)</t>
        </is>
      </c>
      <c r="B45" s="10" t="n">
        <v>30</v>
      </c>
    </row>
    <row r="46">
      <c r="A46" s="3" t="inlineStr">
        <is>
          <t>★ 월 상환액 (원리금균등, 원)</t>
        </is>
      </c>
      <c r="B46" s="13">
        <f>-PMT(B44/12,B45*12,B43)</f>
        <v/>
      </c>
    </row>
    <row r="47">
      <c r="A47" s="3" t="inlineStr">
        <is>
          <t>총 상환액 (월 상환액×기간×12, 원)</t>
        </is>
      </c>
      <c r="B47" s="13">
        <f>B46*B45*12</f>
        <v/>
      </c>
    </row>
    <row r="48">
      <c r="A48" s="3" t="inlineStr">
        <is>
          <t>총 이자액 (총 상환액-대출금액, 원)</t>
        </is>
      </c>
      <c r="B48" s="13">
        <f>B47-B43</f>
        <v/>
      </c>
    </row>
    <row r="50">
      <c r="A50" s="16" t="inlineStr">
        <is>
          <t>⚠ 대출 한도·금리는 LTV·DSR 등 규제와 개인 신용도에 따라 실제 은행 심사 결과와 다를 수 있습니다.</t>
        </is>
      </c>
    </row>
    <row r="51">
      <c r="A51" s="16" t="inlineStr">
        <is>
          <t>혼인증여재산공제는 혼인 여부와 무관하게 여러 번 혼인신고를 해도 합계 공제는 1억원까지만 인정되고, 출산증여공제와 중복되지 않습니다.</t>
        </is>
      </c>
    </row>
  </sheetData>
  <dataValidations count="2">
    <dataValidation sqref="B12" showDropDown="0" showInputMessage="0" showErrorMessage="0" allowBlank="1" type="list">
      <formula1>"전세,월세,매매"</formula1>
    </dataValidation>
    <dataValidation sqref="B23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2026-10-11T21:31:32Z</dcterms:created>
  <dcterms:modified xmlns:dcterms="http://purl.org/dc/terms/" xmlns:xsi="http://www.w3.org/2001/XMLSchema-instance" xsi:type="dcterms:W3CDTF">2026-10-11T21:31:32Z</dcterms:modified>
</cp:coreProperties>
</file>