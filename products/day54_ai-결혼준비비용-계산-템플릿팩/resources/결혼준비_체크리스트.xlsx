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준비타임라인" sheetId="2" state="visible" r:id="rId2"/>
    <sheet xmlns:r="http://schemas.openxmlformats.org/officeDocument/2006/relationships" name="혼수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"/>
  </numFmts>
  <fonts count="7">
    <font>
      <name val="Calibri"/>
      <family val="2"/>
      <color theme="1"/>
      <sz val="11"/>
      <scheme val="minor"/>
    </font>
    <font>
      <name val="맑은 고딕"/>
      <b val="1"/>
      <color rgb="00262C3D"/>
      <sz val="14"/>
    </font>
    <font>
      <name val="맑은 고딕"/>
      <b val="1"/>
      <color rgb="00B87F1F"/>
      <sz val="11"/>
    </font>
    <font>
      <name val="맑은 고딕"/>
      <color rgb="00262C3D"/>
      <sz val="10.5"/>
    </font>
    <font>
      <name val="맑은 고딕"/>
      <color rgb="00565F72"/>
      <sz val="9.5"/>
    </font>
    <font>
      <name val="맑은 고딕"/>
      <b val="1"/>
      <color rgb="00262C3D"/>
      <sz val="10.5"/>
    </font>
    <font>
      <name val="맑은 고딕"/>
      <b val="1"/>
      <color rgb="00FFFFFF"/>
      <sz val="9.5"/>
    </font>
  </fonts>
  <fills count="5">
    <fill>
      <patternFill/>
    </fill>
    <fill>
      <patternFill patternType="gray125"/>
    </fill>
    <fill>
      <patternFill patternType="solid">
        <fgColor rgb="00FFF6D9"/>
      </patternFill>
    </fill>
    <fill>
      <patternFill patternType="solid">
        <fgColor rgb="00B87F1F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3" fillId="0" borderId="0" pivotButton="0" quotePrefix="0" xfId="0"/>
    <xf numFmtId="164" fontId="3" fillId="2" borderId="0" pivotButton="0" quotePrefix="0" xfId="0"/>
    <xf numFmtId="0" fontId="6" fillId="3" borderId="0" pivotButton="0" quotePrefix="0" xfId="0"/>
    <xf numFmtId="165" fontId="3" fillId="2" borderId="0" pivotButton="0" quotePrefix="0" xfId="0"/>
    <xf numFmtId="164" fontId="3" fillId="4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3" fillId="2" borderId="0" pivotButton="0" quotePrefix="0" xfId="0"/>
    <xf numFmtId="3" fontId="3" fillId="2" borderId="0" pivotButton="0" quotePrefix="0" xfId="0"/>
    <xf numFmtId="3" fontId="5" fillId="4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결혼 준비 체크리스트 &amp; 타임라인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도구는 예식일을 입력하면 준비 타임라인(D-day)을 자동 역산하는 '준비타임라인' 시트와, 혼수·가전·가구</t>
        </is>
      </c>
    </row>
    <row r="6">
      <c r="B6" s="3" t="inlineStr">
        <is>
          <t>품목을 보유 여부·완료 여부까지 체크하는 '혼수체크리스트' 시트로 구성된 참고용 자료입니다.</t>
        </is>
      </c>
    </row>
    <row r="8">
      <c r="B8" s="2" t="inlineStr">
        <is>
          <t>사용법</t>
        </is>
      </c>
    </row>
    <row r="9">
      <c r="B9" s="3" t="inlineStr">
        <is>
          <t>① '준비타임라인' 시트에서 예식일을 입력하면 항목별 권장 시점의 목표 완료일과 D-day가 자동 계산됩니다.</t>
        </is>
      </c>
    </row>
    <row r="10">
      <c r="B10" s="3" t="inlineStr">
        <is>
          <t>② '혼수체크리스트' 시트에서 이미 보유한 품목은 '예'로 표시해 제외하고, 새로 구매할 품목만 등급·가격을</t>
        </is>
      </c>
    </row>
    <row r="11">
      <c r="B11" s="3" t="inlineStr">
        <is>
          <t xml:space="preserve">   입력한 뒤 완료여부를 체크하며 진행하세요. 하단에 새로 구매할 품목의 합계가 자동으로 뜹니다.</t>
        </is>
      </c>
    </row>
    <row r="12">
      <c r="B12" s="3" t="inlineStr">
        <is>
          <t>③ 혼수 합계는 '결혼준비_예산_계산기.xlsx'의 ④ 혼수·가전·가구 비용 입력란과 맞춰서 쓰세요.</t>
        </is>
      </c>
    </row>
    <row r="14">
      <c r="B14" s="4" t="inlineStr">
        <is>
          <t>타임라인의 권장 시점(개월 전)은 일반적으로 통용되는 관례를 약 30일 기준으로 단순화한 참고용 값입니다. 예식장·업체별 실제 계약·예약 마감 기한은 다를 수 있으니 반드시 개별 확인하세요.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결혼 준비 타임라인 계산기</t>
        </is>
      </c>
    </row>
    <row r="3">
      <c r="A3" s="5" t="inlineStr">
        <is>
          <t>① 예식일 입력</t>
        </is>
      </c>
    </row>
    <row r="4">
      <c r="A4" s="6" t="inlineStr">
        <is>
          <t>예식일 (결혼식 날짜)</t>
        </is>
      </c>
      <c r="B4" s="7" t="inlineStr">
        <is>
          <t>2027-05-15</t>
        </is>
      </c>
    </row>
    <row r="6">
      <c r="A6" s="5" t="inlineStr">
        <is>
          <t>② 준비 타임라인 (예식일 기준 역산, 자동 계산)</t>
        </is>
      </c>
    </row>
    <row r="7">
      <c r="A7" s="8" t="inlineStr">
        <is>
          <t>준비 항목</t>
        </is>
      </c>
      <c r="B7" s="8" t="inlineStr">
        <is>
          <t>권장 시점(예식일 기준, 개월 전)</t>
        </is>
      </c>
      <c r="C7" s="8" t="inlineStr">
        <is>
          <t>목표 완료일(자동)</t>
        </is>
      </c>
      <c r="D7" s="8" t="inlineStr">
        <is>
          <t>D-day(오늘 기준)</t>
        </is>
      </c>
    </row>
    <row r="8">
      <c r="A8" s="6" t="inlineStr">
        <is>
          <t>예식장 계약</t>
        </is>
      </c>
      <c r="B8" s="9" t="n">
        <v>12</v>
      </c>
      <c r="C8" s="10">
        <f>$B$4-ROUND(B8*30,0)</f>
        <v/>
      </c>
      <c r="D8" s="11">
        <f>C8-TODAY()</f>
        <v/>
      </c>
    </row>
    <row r="9">
      <c r="A9" s="6" t="inlineStr">
        <is>
          <t>상견례·혼주 인사</t>
        </is>
      </c>
      <c r="B9" s="9" t="n">
        <v>10</v>
      </c>
      <c r="C9" s="10">
        <f>$B$4-ROUND(B9*30,0)</f>
        <v/>
      </c>
      <c r="D9" s="11">
        <f>C9-TODAY()</f>
        <v/>
      </c>
    </row>
    <row r="10">
      <c r="A10" s="6" t="inlineStr">
        <is>
          <t>스드메 업체 계약</t>
        </is>
      </c>
      <c r="B10" s="9" t="n">
        <v>9</v>
      </c>
      <c r="C10" s="10">
        <f>$B$4-ROUND(B10*30,0)</f>
        <v/>
      </c>
      <c r="D10" s="11">
        <f>C10-TODAY()</f>
        <v/>
      </c>
    </row>
    <row r="11">
      <c r="A11" s="6" t="inlineStr">
        <is>
          <t>신혼여행 예약(성수기 피하기)</t>
        </is>
      </c>
      <c r="B11" s="9" t="n">
        <v>7</v>
      </c>
      <c r="C11" s="10">
        <f>$B$4-ROUND(B11*30,0)</f>
        <v/>
      </c>
      <c r="D11" s="11">
        <f>C11-TODAY()</f>
        <v/>
      </c>
    </row>
    <row r="12">
      <c r="A12" s="6" t="inlineStr">
        <is>
          <t>예물·예단 준비</t>
        </is>
      </c>
      <c r="B12" s="9" t="n">
        <v>5</v>
      </c>
      <c r="C12" s="10">
        <f>$B$4-ROUND(B12*30,0)</f>
        <v/>
      </c>
      <c r="D12" s="11">
        <f>C12-TODAY()</f>
        <v/>
      </c>
    </row>
    <row r="13">
      <c r="A13" s="6" t="inlineStr">
        <is>
          <t>혼수(대형가전·가구) 주문</t>
        </is>
      </c>
      <c r="B13" s="9" t="n">
        <v>3</v>
      </c>
      <c r="C13" s="10">
        <f>$B$4-ROUND(B13*30,0)</f>
        <v/>
      </c>
      <c r="D13" s="11">
        <f>C13-TODAY()</f>
        <v/>
      </c>
    </row>
    <row r="14">
      <c r="A14" s="6" t="inlineStr">
        <is>
          <t>청첩장 디자인·제작</t>
        </is>
      </c>
      <c r="B14" s="9" t="n">
        <v>2</v>
      </c>
      <c r="C14" s="10">
        <f>$B$4-ROUND(B14*30,0)</f>
        <v/>
      </c>
      <c r="D14" s="11">
        <f>C14-TODAY()</f>
        <v/>
      </c>
    </row>
    <row r="15">
      <c r="A15" s="6" t="inlineStr">
        <is>
          <t>본식 드레스 1차 피팅</t>
        </is>
      </c>
      <c r="B15" s="9" t="n">
        <v>1.5</v>
      </c>
      <c r="C15" s="10">
        <f>$B$4-ROUND(B15*30,0)</f>
        <v/>
      </c>
      <c r="D15" s="11">
        <f>C15-TODAY()</f>
        <v/>
      </c>
    </row>
    <row r="16">
      <c r="A16" s="6" t="inlineStr">
        <is>
          <t>청첩장 발송</t>
        </is>
      </c>
      <c r="B16" s="9" t="n">
        <v>1</v>
      </c>
      <c r="C16" s="10">
        <f>$B$4-ROUND(B16*30,0)</f>
        <v/>
      </c>
      <c r="D16" s="11">
        <f>C16-TODAY()</f>
        <v/>
      </c>
    </row>
    <row r="17">
      <c r="A17" s="6" t="inlineStr">
        <is>
          <t>혼수 배송·신혼집 입주 준비</t>
        </is>
      </c>
      <c r="B17" s="9" t="n">
        <v>0.5</v>
      </c>
      <c r="C17" s="10">
        <f>$B$4-ROUND(B17*30,0)</f>
        <v/>
      </c>
      <c r="D17" s="11">
        <f>C17-TODAY()</f>
        <v/>
      </c>
    </row>
    <row r="18">
      <c r="A18" s="6" t="inlineStr">
        <is>
          <t>본식 드레스 2차(최종) 피팅</t>
        </is>
      </c>
      <c r="B18" s="9" t="n">
        <v>0.33</v>
      </c>
      <c r="C18" s="10">
        <f>$B$4-ROUND(B18*30,0)</f>
        <v/>
      </c>
      <c r="D18" s="11">
        <f>C18-TODAY()</f>
        <v/>
      </c>
    </row>
    <row r="19">
      <c r="A19" s="6" t="inlineStr">
        <is>
          <t>폐백·이바지 음식 준비</t>
        </is>
      </c>
      <c r="B19" s="9" t="n">
        <v>0.2</v>
      </c>
      <c r="C19" s="10">
        <f>$B$4-ROUND(B19*30,0)</f>
        <v/>
      </c>
      <c r="D19" s="11">
        <f>C19-TODAY()</f>
        <v/>
      </c>
    </row>
    <row r="21">
      <c r="A21" s="12" t="inlineStr">
        <is>
          <t>⚠ D-day가 음수면 이미 지난 권장 시점이니 서둘러 진행하고, 7 이하면 임박했으니 우선 처리하세요.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>
      <c r="A1" s="1" t="inlineStr">
        <is>
          <t>혼수·가전·가구 체크리스트</t>
        </is>
      </c>
    </row>
    <row r="3">
      <c r="A3" s="5" t="inlineStr">
        <is>
          <t>품목별 보유 여부·완료 여부·선택 등급·예상 가격 체크</t>
        </is>
      </c>
    </row>
    <row r="4">
      <c r="A4" s="8" t="inlineStr">
        <is>
          <t>No</t>
        </is>
      </c>
      <c r="B4" s="8" t="inlineStr">
        <is>
          <t>분류</t>
        </is>
      </c>
      <c r="C4" s="8" t="inlineStr">
        <is>
          <t>품목</t>
        </is>
      </c>
      <c r="D4" s="8" t="inlineStr">
        <is>
          <t>이미 보유</t>
        </is>
      </c>
      <c r="E4" s="8" t="inlineStr">
        <is>
          <t>완료여부</t>
        </is>
      </c>
      <c r="F4" s="8" t="inlineStr">
        <is>
          <t>선택 등급</t>
        </is>
      </c>
      <c r="G4" s="8" t="inlineStr">
        <is>
          <t>예상 가격(원)</t>
        </is>
      </c>
    </row>
    <row r="5">
      <c r="A5" s="6" t="n">
        <v>1</v>
      </c>
      <c r="B5" s="6" t="inlineStr">
        <is>
          <t>대형가전</t>
        </is>
      </c>
      <c r="C5" s="6" t="inlineStr">
        <is>
          <t>냉장고</t>
        </is>
      </c>
      <c r="D5" s="13" t="inlineStr">
        <is>
          <t>아니오</t>
        </is>
      </c>
      <c r="E5" s="13" t="inlineStr">
        <is>
          <t>미완료</t>
        </is>
      </c>
      <c r="F5" s="13" t="inlineStr">
        <is>
          <t>기본형</t>
        </is>
      </c>
      <c r="G5" s="14" t="n">
        <v>1200000</v>
      </c>
    </row>
    <row r="6">
      <c r="A6" s="6" t="n">
        <v>2</v>
      </c>
      <c r="B6" s="6" t="inlineStr">
        <is>
          <t>대형가전</t>
        </is>
      </c>
      <c r="C6" s="6" t="inlineStr">
        <is>
          <t>세탁기</t>
        </is>
      </c>
      <c r="D6" s="13" t="inlineStr">
        <is>
          <t>아니오</t>
        </is>
      </c>
      <c r="E6" s="13" t="inlineStr">
        <is>
          <t>미완료</t>
        </is>
      </c>
      <c r="F6" s="13" t="inlineStr">
        <is>
          <t>기본형</t>
        </is>
      </c>
      <c r="G6" s="14" t="n">
        <v>800000</v>
      </c>
    </row>
    <row r="7">
      <c r="A7" s="6" t="n">
        <v>3</v>
      </c>
      <c r="B7" s="6" t="inlineStr">
        <is>
          <t>대형가전</t>
        </is>
      </c>
      <c r="C7" s="6" t="inlineStr">
        <is>
          <t>건조기</t>
        </is>
      </c>
      <c r="D7" s="13" t="inlineStr">
        <is>
          <t>아니오</t>
        </is>
      </c>
      <c r="E7" s="13" t="inlineStr">
        <is>
          <t>미완료</t>
        </is>
      </c>
      <c r="F7" s="13" t="inlineStr">
        <is>
          <t>중급형</t>
        </is>
      </c>
      <c r="G7" s="14" t="n">
        <v>900000</v>
      </c>
    </row>
    <row r="8">
      <c r="A8" s="6" t="n">
        <v>4</v>
      </c>
      <c r="B8" s="6" t="inlineStr">
        <is>
          <t>대형가전</t>
        </is>
      </c>
      <c r="C8" s="6" t="inlineStr">
        <is>
          <t>에어컨</t>
        </is>
      </c>
      <c r="D8" s="13" t="inlineStr">
        <is>
          <t>아니오</t>
        </is>
      </c>
      <c r="E8" s="13" t="inlineStr">
        <is>
          <t>미완료</t>
        </is>
      </c>
      <c r="F8" s="13" t="inlineStr">
        <is>
          <t>기본형</t>
        </is>
      </c>
      <c r="G8" s="14" t="n">
        <v>1500000</v>
      </c>
    </row>
    <row r="9">
      <c r="A9" s="6" t="n">
        <v>5</v>
      </c>
      <c r="B9" s="6" t="inlineStr">
        <is>
          <t>대형가전</t>
        </is>
      </c>
      <c r="C9" s="6" t="inlineStr">
        <is>
          <t>TV</t>
        </is>
      </c>
      <c r="D9" s="13" t="inlineStr">
        <is>
          <t>아니오</t>
        </is>
      </c>
      <c r="E9" s="13" t="inlineStr">
        <is>
          <t>미완료</t>
        </is>
      </c>
      <c r="F9" s="13" t="inlineStr">
        <is>
          <t>기본형</t>
        </is>
      </c>
      <c r="G9" s="14" t="n">
        <v>700000</v>
      </c>
    </row>
    <row r="10">
      <c r="A10" s="6" t="n">
        <v>6</v>
      </c>
      <c r="B10" s="6" t="inlineStr">
        <is>
          <t>소형가전</t>
        </is>
      </c>
      <c r="C10" s="6" t="inlineStr">
        <is>
          <t>청소기</t>
        </is>
      </c>
      <c r="D10" s="13" t="inlineStr">
        <is>
          <t>아니오</t>
        </is>
      </c>
      <c r="E10" s="13" t="inlineStr">
        <is>
          <t>미완료</t>
        </is>
      </c>
      <c r="F10" s="13" t="inlineStr">
        <is>
          <t>기본형</t>
        </is>
      </c>
      <c r="G10" s="14" t="n">
        <v>300000</v>
      </c>
    </row>
    <row r="11">
      <c r="A11" s="6" t="n">
        <v>7</v>
      </c>
      <c r="B11" s="6" t="inlineStr">
        <is>
          <t>소형가전</t>
        </is>
      </c>
      <c r="C11" s="6" t="inlineStr">
        <is>
          <t>전자레인지</t>
        </is>
      </c>
      <c r="D11" s="13" t="inlineStr">
        <is>
          <t>아니오</t>
        </is>
      </c>
      <c r="E11" s="13" t="inlineStr">
        <is>
          <t>미완료</t>
        </is>
      </c>
      <c r="F11" s="13" t="inlineStr">
        <is>
          <t>기본형</t>
        </is>
      </c>
      <c r="G11" s="14" t="n">
        <v>150000</v>
      </c>
    </row>
    <row r="12">
      <c r="A12" s="6" t="n">
        <v>8</v>
      </c>
      <c r="B12" s="6" t="inlineStr">
        <is>
          <t>소형가전</t>
        </is>
      </c>
      <c r="C12" s="6" t="inlineStr">
        <is>
          <t>전기밥솥</t>
        </is>
      </c>
      <c r="D12" s="13" t="inlineStr">
        <is>
          <t>아니오</t>
        </is>
      </c>
      <c r="E12" s="13" t="inlineStr">
        <is>
          <t>미완료</t>
        </is>
      </c>
      <c r="F12" s="13" t="inlineStr">
        <is>
          <t>기본형</t>
        </is>
      </c>
      <c r="G12" s="14" t="n">
        <v>200000</v>
      </c>
    </row>
    <row r="13">
      <c r="A13" s="6" t="n">
        <v>9</v>
      </c>
      <c r="B13" s="6" t="inlineStr">
        <is>
          <t>소형가전</t>
        </is>
      </c>
      <c r="C13" s="6" t="inlineStr">
        <is>
          <t>정수기(렌탈 아닌 구매)</t>
        </is>
      </c>
      <c r="D13" s="13" t="inlineStr">
        <is>
          <t>아니오</t>
        </is>
      </c>
      <c r="E13" s="13" t="inlineStr">
        <is>
          <t>미완료</t>
        </is>
      </c>
      <c r="F13" s="13" t="inlineStr">
        <is>
          <t>기본형</t>
        </is>
      </c>
      <c r="G13" s="14" t="n">
        <v>300000</v>
      </c>
    </row>
    <row r="14">
      <c r="A14" s="6" t="n">
        <v>10</v>
      </c>
      <c r="B14" s="6" t="inlineStr">
        <is>
          <t>소형가전</t>
        </is>
      </c>
      <c r="C14" s="6" t="inlineStr">
        <is>
          <t>커피머신</t>
        </is>
      </c>
      <c r="D14" s="13" t="inlineStr">
        <is>
          <t>아니오</t>
        </is>
      </c>
      <c r="E14" s="13" t="inlineStr">
        <is>
          <t>미완료</t>
        </is>
      </c>
      <c r="F14" s="13" t="inlineStr">
        <is>
          <t>기본형</t>
        </is>
      </c>
      <c r="G14" s="14" t="n">
        <v>150000</v>
      </c>
    </row>
    <row r="15">
      <c r="A15" s="6" t="n">
        <v>11</v>
      </c>
      <c r="B15" s="6" t="inlineStr">
        <is>
          <t>가구</t>
        </is>
      </c>
      <c r="C15" s="6" t="inlineStr">
        <is>
          <t>침대(매트리스 포함)</t>
        </is>
      </c>
      <c r="D15" s="13" t="inlineStr">
        <is>
          <t>아니오</t>
        </is>
      </c>
      <c r="E15" s="13" t="inlineStr">
        <is>
          <t>미완료</t>
        </is>
      </c>
      <c r="F15" s="13" t="inlineStr">
        <is>
          <t>중급형</t>
        </is>
      </c>
      <c r="G15" s="14" t="n">
        <v>1500000</v>
      </c>
    </row>
    <row r="16">
      <c r="A16" s="6" t="n">
        <v>12</v>
      </c>
      <c r="B16" s="6" t="inlineStr">
        <is>
          <t>가구</t>
        </is>
      </c>
      <c r="C16" s="6" t="inlineStr">
        <is>
          <t>소파</t>
        </is>
      </c>
      <c r="D16" s="13" t="inlineStr">
        <is>
          <t>아니오</t>
        </is>
      </c>
      <c r="E16" s="13" t="inlineStr">
        <is>
          <t>미완료</t>
        </is>
      </c>
      <c r="F16" s="13" t="inlineStr">
        <is>
          <t>기본형</t>
        </is>
      </c>
      <c r="G16" s="14" t="n">
        <v>1200000</v>
      </c>
    </row>
    <row r="17">
      <c r="A17" s="6" t="n">
        <v>13</v>
      </c>
      <c r="B17" s="6" t="inlineStr">
        <is>
          <t>가구</t>
        </is>
      </c>
      <c r="C17" s="6" t="inlineStr">
        <is>
          <t>식탁+의자</t>
        </is>
      </c>
      <c r="D17" s="13" t="inlineStr">
        <is>
          <t>아니오</t>
        </is>
      </c>
      <c r="E17" s="13" t="inlineStr">
        <is>
          <t>미완료</t>
        </is>
      </c>
      <c r="F17" s="13" t="inlineStr">
        <is>
          <t>기본형</t>
        </is>
      </c>
      <c r="G17" s="14" t="n">
        <v>800000</v>
      </c>
    </row>
    <row r="18">
      <c r="A18" s="6" t="n">
        <v>14</v>
      </c>
      <c r="B18" s="6" t="inlineStr">
        <is>
          <t>가구</t>
        </is>
      </c>
      <c r="C18" s="6" t="inlineStr">
        <is>
          <t>옷장·드레스룸 가구</t>
        </is>
      </c>
      <c r="D18" s="13" t="inlineStr">
        <is>
          <t>아니오</t>
        </is>
      </c>
      <c r="E18" s="13" t="inlineStr">
        <is>
          <t>미완료</t>
        </is>
      </c>
      <c r="F18" s="13" t="inlineStr">
        <is>
          <t>기본형</t>
        </is>
      </c>
      <c r="G18" s="14" t="n">
        <v>1000000</v>
      </c>
    </row>
    <row r="19">
      <c r="A19" s="6" t="n">
        <v>15</v>
      </c>
      <c r="B19" s="6" t="inlineStr">
        <is>
          <t>가구</t>
        </is>
      </c>
      <c r="C19" s="6" t="inlineStr">
        <is>
          <t>화장대</t>
        </is>
      </c>
      <c r="D19" s="13" t="inlineStr">
        <is>
          <t>아니오</t>
        </is>
      </c>
      <c r="E19" s="13" t="inlineStr">
        <is>
          <t>미완료</t>
        </is>
      </c>
      <c r="F19" s="13" t="inlineStr">
        <is>
          <t>기본형</t>
        </is>
      </c>
      <c r="G19" s="14" t="n">
        <v>400000</v>
      </c>
    </row>
    <row r="20">
      <c r="A20" s="6" t="n">
        <v>16</v>
      </c>
      <c r="B20" s="6" t="inlineStr">
        <is>
          <t>생활용품</t>
        </is>
      </c>
      <c r="C20" s="6" t="inlineStr">
        <is>
          <t>침구 세트</t>
        </is>
      </c>
      <c r="D20" s="13" t="inlineStr">
        <is>
          <t>아니오</t>
        </is>
      </c>
      <c r="E20" s="13" t="inlineStr">
        <is>
          <t>미완료</t>
        </is>
      </c>
      <c r="F20" s="13" t="inlineStr">
        <is>
          <t>기본형</t>
        </is>
      </c>
      <c r="G20" s="14" t="n">
        <v>300000</v>
      </c>
    </row>
    <row r="21">
      <c r="A21" s="6" t="n">
        <v>17</v>
      </c>
      <c r="B21" s="6" t="inlineStr">
        <is>
          <t>생활용품</t>
        </is>
      </c>
      <c r="C21" s="6" t="inlineStr">
        <is>
          <t>커튼·블라인드</t>
        </is>
      </c>
      <c r="D21" s="13" t="inlineStr">
        <is>
          <t>아니오</t>
        </is>
      </c>
      <c r="E21" s="13" t="inlineStr">
        <is>
          <t>미완료</t>
        </is>
      </c>
      <c r="F21" s="13" t="inlineStr">
        <is>
          <t>기본형</t>
        </is>
      </c>
      <c r="G21" s="14" t="n">
        <v>250000</v>
      </c>
    </row>
    <row r="22">
      <c r="A22" s="6" t="n">
        <v>18</v>
      </c>
      <c r="B22" s="6" t="inlineStr">
        <is>
          <t>생활용품</t>
        </is>
      </c>
      <c r="C22" s="6" t="inlineStr">
        <is>
          <t>주방용품(그릇·조리도구)</t>
        </is>
      </c>
      <c r="D22" s="13" t="inlineStr">
        <is>
          <t>아니오</t>
        </is>
      </c>
      <c r="E22" s="13" t="inlineStr">
        <is>
          <t>미완료</t>
        </is>
      </c>
      <c r="F22" s="13" t="inlineStr">
        <is>
          <t>기본형</t>
        </is>
      </c>
      <c r="G22" s="14" t="n">
        <v>400000</v>
      </c>
    </row>
    <row r="23">
      <c r="A23" s="6" t="n">
        <v>19</v>
      </c>
      <c r="B23" s="6" t="inlineStr">
        <is>
          <t>생활용품</t>
        </is>
      </c>
      <c r="C23" s="6" t="inlineStr">
        <is>
          <t>욕실용품</t>
        </is>
      </c>
      <c r="D23" s="13" t="inlineStr">
        <is>
          <t>아니오</t>
        </is>
      </c>
      <c r="E23" s="13" t="inlineStr">
        <is>
          <t>미완료</t>
        </is>
      </c>
      <c r="F23" s="13" t="inlineStr">
        <is>
          <t>기본형</t>
        </is>
      </c>
      <c r="G23" s="14" t="n">
        <v>150000</v>
      </c>
    </row>
    <row r="24">
      <c r="A24" s="6" t="n">
        <v>20</v>
      </c>
      <c r="B24" s="6" t="inlineStr">
        <is>
          <t>생활용품</t>
        </is>
      </c>
      <c r="C24" s="6" t="inlineStr">
        <is>
          <t>수납·정리용품</t>
        </is>
      </c>
      <c r="D24" s="13" t="inlineStr">
        <is>
          <t>아니오</t>
        </is>
      </c>
      <c r="E24" s="13" t="inlineStr">
        <is>
          <t>미완료</t>
        </is>
      </c>
      <c r="F24" s="13" t="inlineStr">
        <is>
          <t>기본형</t>
        </is>
      </c>
      <c r="G24" s="14" t="n">
        <v>200000</v>
      </c>
    </row>
    <row r="26">
      <c r="A26" s="5" t="inlineStr">
        <is>
          <t>★ 새로 구매할 품목 합계(이미 보유='아니오'인 품목만, 원)</t>
        </is>
      </c>
      <c r="G26" s="15">
        <f>SUMIF(D5:D24,"아니오",G5:G24)</f>
        <v/>
      </c>
    </row>
    <row r="27">
      <c r="A27" s="5" t="inlineStr">
        <is>
          <t>★ 완료 품목 수 / 전체 품목 수</t>
        </is>
      </c>
      <c r="G27" s="16">
        <f>COUNTIF(E5:E24,"완료")&amp;" / "&amp;(24-5+1)</f>
        <v/>
      </c>
    </row>
  </sheetData>
  <dataValidations count="3">
    <dataValidation sqref="D5:D24" showDropDown="0" showInputMessage="0" showErrorMessage="0" allowBlank="1" type="list">
      <formula1>"예,아니오"</formula1>
    </dataValidation>
    <dataValidation sqref="E5:E24" showDropDown="0" showInputMessage="0" showErrorMessage="0" allowBlank="1" type="list">
      <formula1>"완료,미완료"</formula1>
    </dataValidation>
    <dataValidation sqref="F5:F24" showDropDown="0" showInputMessage="0" showErrorMessage="0" allowBlank="1" type="list">
      <formula1>"기본형,중급형"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2026-10-11T21:29:55Z</dcterms:created>
  <dcterms:modified xmlns:dcterms="http://purl.org/dc/terms/" xmlns:xsi="http://www.w3.org/2001/XMLSchema-instance" xsi:type="dcterms:W3CDTF">2026-10-11T21:29:55Z</dcterms:modified>
</cp:coreProperties>
</file>