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b val="1"/>
      <color rgb="00B87F1F"/>
      <sz val="11"/>
    </font>
    <font>
      <name val="맑은 고딕"/>
      <color rgb="00262C3D"/>
      <sz val="10.5"/>
    </font>
    <font>
      <name val="맑은 고딕"/>
      <color rgb="00565F72"/>
      <sz val="9.5"/>
    </font>
    <font>
      <name val="맑은 고딕"/>
      <b val="1"/>
      <color rgb="00262C3D"/>
      <sz val="10.5"/>
    </font>
    <font>
      <name val="맑은 고딕"/>
      <b val="1"/>
      <color rgb="00FFFFFF"/>
      <sz val="9.5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3" fontId="3" fillId="3" borderId="0" pivotButton="0" quotePrefix="0" xfId="0"/>
    <xf numFmtId="10" fontId="3" fillId="3" borderId="0" pivotButton="0" quotePrefix="0" xfId="0"/>
    <xf numFmtId="3" fontId="5" fillId="4" borderId="0" pivotButton="0" quotePrefix="0" xfId="0"/>
    <xf numFmtId="3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결혼 준비 예산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예식장 대관료·식대, 스드메, 혼수·가전·가구, 신혼여행 비용에 예상 축의금·예비비·분담 비율까지 반영해</t>
        </is>
      </c>
    </row>
    <row r="6">
      <c r="B6" s="3" t="inlineStr">
        <is>
          <t>결혼 준비 비용(신혼집 마련 자금은 제외)의 예상 순지출을 계산하는 참고용 도구입니다. (기준: 2026년 10월 확인한</t>
        </is>
      </c>
    </row>
    <row r="7">
      <c r="B7" s="3" t="inlineStr">
        <is>
          <t>한국소비자원 조사 통계 — 결혼식장+스드메 패키지 평균 전국 2,160만원)</t>
        </is>
      </c>
    </row>
    <row r="9">
      <c r="B9" s="2" t="inlineStr">
        <is>
          <t>사용법</t>
        </is>
      </c>
    </row>
    <row r="10">
      <c r="B10" s="3" t="inlineStr">
        <is>
          <t>① '계산기' 시트 상단 지역별 평균 비용 참고표를 확인합니다.</t>
        </is>
      </c>
    </row>
    <row r="11">
      <c r="B11" s="3" t="inlineStr">
        <is>
          <t>② 노란색 칸(조건 입력)에 예식장·스드메·혼수·신혼여행 비용과 예상 하객 구성을 입력합니다.</t>
        </is>
      </c>
    </row>
    <row r="12">
      <c r="B12" s="3" t="inlineStr">
        <is>
          <t>③ 올리브색 칸에서 각 항목 합계 → 예상 축의금(보수적/평균 2가지) → 예식 순수 지출액 → 예비비 포함</t>
        </is>
      </c>
    </row>
    <row r="13">
      <c r="B13" s="3" t="inlineStr">
        <is>
          <t xml:space="preserve">   최종 금액 → 예비부부 분담 비율(3가지 방식)까지 자동 계산됩니다.</t>
        </is>
      </c>
    </row>
    <row r="14">
      <c r="B14" s="3" t="inlineStr">
        <is>
          <t>④ 스드메 업체를 비교 중이라면 '스드메_비교_계산기.xlsx'로, 신혼집 자금은 '신혼집_자금_계산기.xlsx'로</t>
        </is>
      </c>
    </row>
    <row r="15">
      <c r="B15" s="3" t="inlineStr">
        <is>
          <t xml:space="preserve">   넘어가 별도로 계산하세요. 혼수 품목을 하나씩 체크하려면 '결혼준비_체크리스트.xlsx'를 참고하세요.</t>
        </is>
      </c>
    </row>
    <row r="17">
      <c r="B17" s="4" t="inlineStr">
        <is>
          <t>이 계산기는 확정 비용이 아니라 참고용 추정치입니다. 결혼 비용 통계는 조사 기관·시점마다 차이가 크므로, 실제 지출 전 반드시 2~3곳 이상의 업체 견적으로 재확인하세요. 예물·예단, 상견례비 등 가족 문화에 따라 있고 없고가 다른 항목은 별도로 확인이 필요합니다.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결혼 준비 예산 계산기</t>
        </is>
      </c>
    </row>
    <row r="3">
      <c r="A3" s="5" t="inlineStr">
        <is>
          <t>① 지역별 결혼식장+스드메 패키지 평균 비용 (참고, 한국소비자원 조사)</t>
        </is>
      </c>
    </row>
    <row r="4">
      <c r="A4" s="6" t="inlineStr">
        <is>
          <t>구분</t>
        </is>
      </c>
      <c r="B4" s="6" t="inlineStr">
        <is>
          <t>평균 비용(원)</t>
        </is>
      </c>
    </row>
    <row r="5">
      <c r="A5" s="7" t="inlineStr">
        <is>
          <t>전국 평균</t>
        </is>
      </c>
      <c r="B5" s="8" t="n">
        <v>21600000</v>
      </c>
    </row>
    <row r="6">
      <c r="A6" s="7" t="inlineStr">
        <is>
          <t>수도권</t>
        </is>
      </c>
      <c r="B6" s="8" t="n">
        <v>26650000</v>
      </c>
    </row>
    <row r="7">
      <c r="A7" s="7" t="inlineStr">
        <is>
          <t>비수도권</t>
        </is>
      </c>
      <c r="B7" s="8" t="n">
        <v>15110000</v>
      </c>
    </row>
    <row r="8">
      <c r="A8" s="7" t="inlineStr">
        <is>
          <t>서울 강남권</t>
        </is>
      </c>
      <c r="B8" s="8" t="n">
        <v>35090000</v>
      </c>
    </row>
    <row r="10">
      <c r="A10" s="5" t="inlineStr">
        <is>
          <t>② 예식장 대관료 + 식대 계산</t>
        </is>
      </c>
    </row>
    <row r="11">
      <c r="A11" s="3" t="inlineStr">
        <is>
          <t>예식장 대관료 (원)</t>
        </is>
      </c>
      <c r="B11" s="9" t="n">
        <v>3000000</v>
      </c>
    </row>
    <row r="12">
      <c r="A12" s="3" t="inlineStr">
        <is>
          <t>식대 단가 (1인당, 원 — 최근 중간값 6만원 이상)</t>
        </is>
      </c>
      <c r="B12" s="9" t="n">
        <v>65000</v>
      </c>
    </row>
    <row r="13">
      <c r="A13" s="3" t="inlineStr">
        <is>
          <t>예상 하객 수 (명)</t>
        </is>
      </c>
      <c r="B13" s="9" t="n">
        <v>200</v>
      </c>
    </row>
    <row r="14">
      <c r="A14" s="3" t="inlineStr">
        <is>
          <t>보증 인원 비율 (%, 실제 참석 대비 식대 결제 기준, 보통 85~95%)</t>
        </is>
      </c>
      <c r="B14" s="10" t="n">
        <v>0.9</v>
      </c>
    </row>
    <row r="15">
      <c r="A15" s="3" t="inlineStr">
        <is>
          <t>보증 인원 (명, 자동 계산)</t>
        </is>
      </c>
      <c r="B15" s="11">
        <f>ROUND(B13*B14,0)</f>
        <v/>
      </c>
    </row>
    <row r="16">
      <c r="A16" s="3" t="inlineStr">
        <is>
          <t>식대 총액 (보증 인원 × 단가, 원)</t>
        </is>
      </c>
      <c r="B16" s="11">
        <f>B15*B12</f>
        <v/>
      </c>
    </row>
    <row r="17">
      <c r="A17" s="3" t="inlineStr">
        <is>
          <t>★ 예식장 총비용 (대관료+식대, 원)</t>
        </is>
      </c>
      <c r="B17" s="11">
        <f>B11+B16</f>
        <v/>
      </c>
    </row>
    <row r="19">
      <c r="A19" s="5" t="inlineStr">
        <is>
          <t>③ 스드메 비용 입력 (상세 업체 비교는 '스드메_비교_계산기.xlsx' 참고)</t>
        </is>
      </c>
    </row>
    <row r="20">
      <c r="A20" s="3" t="inlineStr">
        <is>
          <t>선택한 업체 총 견적가 (원)</t>
        </is>
      </c>
      <c r="B20" s="9" t="n">
        <v>4200000</v>
      </c>
    </row>
    <row r="21">
      <c r="A21" s="3" t="inlineStr">
        <is>
          <t>숨은 추가비용 예상액 (원본사진·피팅추가·헤어리터치 등, 원)</t>
        </is>
      </c>
      <c r="B21" s="9" t="n">
        <v>400000</v>
      </c>
    </row>
    <row r="22">
      <c r="A22" s="3" t="inlineStr">
        <is>
          <t>★ 스드메 총비용 (원)</t>
        </is>
      </c>
      <c r="B22" s="11">
        <f>B20+B21</f>
        <v/>
      </c>
    </row>
    <row r="24">
      <c r="A24" s="5" t="inlineStr">
        <is>
          <t>④ 혼수·가전·가구 비용 입력 (품목별 체크는 '결혼준비_체크리스트.xlsx' 참고)</t>
        </is>
      </c>
    </row>
    <row r="25">
      <c r="A25" s="3" t="inlineStr">
        <is>
          <t>대형가전 예산 (냉장고·세탁기·에어컨·TV 등, 원)</t>
        </is>
      </c>
      <c r="B25" s="9" t="n">
        <v>8000000</v>
      </c>
    </row>
    <row r="26">
      <c r="A26" s="3" t="inlineStr">
        <is>
          <t>소형가전 예산 (청소기·전자레인지 등, 원)</t>
        </is>
      </c>
      <c r="B26" s="9" t="n">
        <v>1500000</v>
      </c>
    </row>
    <row r="27">
      <c r="A27" s="3" t="inlineStr">
        <is>
          <t>가구 예산 (침대·소파·식탁·옷장 등, 원)</t>
        </is>
      </c>
      <c r="B27" s="9" t="n">
        <v>6000000</v>
      </c>
    </row>
    <row r="28">
      <c r="A28" s="3" t="inlineStr">
        <is>
          <t>생활용품 예산 (침구·주방용품 등, 원)</t>
        </is>
      </c>
      <c r="B28" s="9" t="n">
        <v>1500000</v>
      </c>
    </row>
    <row r="29">
      <c r="A29" s="3" t="inlineStr">
        <is>
          <t>★ 혼수 총비용 (원)</t>
        </is>
      </c>
      <c r="B29" s="11">
        <f>SUM(B25:B28)</f>
        <v/>
      </c>
    </row>
    <row r="31">
      <c r="A31" s="5" t="inlineStr">
        <is>
          <t>⑤ 신혼여행 비용 입력</t>
        </is>
      </c>
    </row>
    <row r="32">
      <c r="A32" s="3" t="inlineStr">
        <is>
          <t>항공권 (원)</t>
        </is>
      </c>
      <c r="B32" s="9" t="n">
        <v>2500000</v>
      </c>
    </row>
    <row r="33">
      <c r="A33" s="3" t="inlineStr">
        <is>
          <t>숙박 (원)</t>
        </is>
      </c>
      <c r="B33" s="9" t="n">
        <v>2000000</v>
      </c>
    </row>
    <row r="34">
      <c r="A34" s="3" t="inlineStr">
        <is>
          <t>현지 투어·액티비티 (원)</t>
        </is>
      </c>
      <c r="B34" s="9" t="n">
        <v>800000</v>
      </c>
    </row>
    <row r="35">
      <c r="A35" s="3" t="inlineStr">
        <is>
          <t>식비·쇼핑 예비비 (원)</t>
        </is>
      </c>
      <c r="B35" s="9" t="n">
        <v>700000</v>
      </c>
    </row>
    <row r="36">
      <c r="A36" s="3" t="inlineStr">
        <is>
          <t>★ 신혼여행 총비용 (원)</t>
        </is>
      </c>
      <c r="B36" s="11">
        <f>SUM(B32:B35)</f>
        <v/>
      </c>
    </row>
    <row r="38">
      <c r="A38" s="5" t="inlineStr">
        <is>
          <t>⑥ 결혼 준비 비용 합계 (신혼집 마련 자금은 별도 — '신혼집_자금_계산기.xlsx' 참고)</t>
        </is>
      </c>
    </row>
    <row r="39">
      <c r="A39" s="3" t="inlineStr">
        <is>
          <t>★★ 예식장+스드메+혼수+신혼여행 합계 (원)</t>
        </is>
      </c>
      <c r="B39" s="11">
        <f>B17+B22+B29+B36</f>
        <v/>
      </c>
    </row>
    <row r="41">
      <c r="A41" s="5" t="inlineStr">
        <is>
          <t>⑦ 예상 축의금 계산 (보수적 추정 / 평균 추정 2가지 시나리오)</t>
        </is>
      </c>
    </row>
    <row r="42">
      <c r="A42" s="6" t="inlineStr">
        <is>
          <t>하객 관계</t>
        </is>
      </c>
      <c r="B42" s="6" t="inlineStr">
        <is>
          <t>예상 인원(명)</t>
        </is>
      </c>
      <c r="C42" s="6" t="inlineStr">
        <is>
          <t>평균 단가·보수적(원)</t>
        </is>
      </c>
      <c r="D42" s="6" t="inlineStr">
        <is>
          <t>평균 단가·평균(원)</t>
        </is>
      </c>
      <c r="E42" s="6" t="inlineStr">
        <is>
          <t>소계·보수적(원)</t>
        </is>
      </c>
      <c r="F42" s="6" t="inlineStr">
        <is>
          <t>소계·평균(원)</t>
        </is>
      </c>
    </row>
    <row r="43">
      <c r="A43" s="7" t="inlineStr">
        <is>
          <t>가족·친척</t>
        </is>
      </c>
      <c r="B43" s="9" t="n">
        <v>30</v>
      </c>
      <c r="C43" s="9" t="n">
        <v>100000</v>
      </c>
      <c r="D43" s="9" t="n">
        <v>150000</v>
      </c>
      <c r="E43" s="12">
        <f>B43*C43</f>
        <v/>
      </c>
      <c r="F43" s="12">
        <f>B43*D43</f>
        <v/>
      </c>
    </row>
    <row r="44">
      <c r="A44" s="7" t="inlineStr">
        <is>
          <t>직장 동료</t>
        </is>
      </c>
      <c r="B44" s="9" t="n">
        <v>70</v>
      </c>
      <c r="C44" s="9" t="n">
        <v>50000</v>
      </c>
      <c r="D44" s="9" t="n">
        <v>70000</v>
      </c>
      <c r="E44" s="12">
        <f>B44*C44</f>
        <v/>
      </c>
      <c r="F44" s="12">
        <f>B44*D44</f>
        <v/>
      </c>
    </row>
    <row r="45">
      <c r="A45" s="7" t="inlineStr">
        <is>
          <t>친구</t>
        </is>
      </c>
      <c r="B45" s="9" t="n">
        <v>60</v>
      </c>
      <c r="C45" s="9" t="n">
        <v>50000</v>
      </c>
      <c r="D45" s="9" t="n">
        <v>70000</v>
      </c>
      <c r="E45" s="12">
        <f>B45*C45</f>
        <v/>
      </c>
      <c r="F45" s="12">
        <f>B45*D45</f>
        <v/>
      </c>
    </row>
    <row r="46">
      <c r="A46" s="7" t="inlineStr">
        <is>
          <t>지인</t>
        </is>
      </c>
      <c r="B46" s="9" t="n">
        <v>40</v>
      </c>
      <c r="C46" s="9" t="n">
        <v>30000</v>
      </c>
      <c r="D46" s="9" t="n">
        <v>50000</v>
      </c>
      <c r="E46" s="12">
        <f>B46*C46</f>
        <v/>
      </c>
      <c r="F46" s="12">
        <f>B46*D46</f>
        <v/>
      </c>
    </row>
    <row r="47">
      <c r="A47" s="5" t="inlineStr">
        <is>
          <t>★ 예상 축의금 합계</t>
        </is>
      </c>
      <c r="E47" s="11">
        <f>SUM(E43:E46)</f>
        <v/>
      </c>
      <c r="F47" s="11">
        <f>SUM(F43:F46)</f>
        <v/>
      </c>
    </row>
    <row r="49">
      <c r="A49" s="5" t="inlineStr">
        <is>
          <t>⑧ 예식 준비 순수 지출액 (결혼 준비 비용 − 예상 축의금)</t>
        </is>
      </c>
    </row>
    <row r="50">
      <c r="A50" s="3" t="inlineStr">
        <is>
          <t>순지출 — 보수적 축의금 기준 (원)</t>
        </is>
      </c>
      <c r="B50" s="11">
        <f>MAX(B39-E47,0)</f>
        <v/>
      </c>
    </row>
    <row r="51">
      <c r="A51" s="3" t="inlineStr">
        <is>
          <t>순지출 — 평균 축의금 기준 (원)</t>
        </is>
      </c>
      <c r="B51" s="11">
        <f>MAX(B39-F47,0)</f>
        <v/>
      </c>
    </row>
    <row r="53">
      <c r="A53" s="5" t="inlineStr">
        <is>
          <t>⑨ 예비비 반영 최종 금액 (권장 10~15%)</t>
        </is>
      </c>
    </row>
    <row r="54">
      <c r="A54" s="3" t="inlineStr">
        <is>
          <t>예비비율 (%)</t>
        </is>
      </c>
      <c r="B54" s="10" t="n">
        <v>0.12</v>
      </c>
    </row>
    <row r="55">
      <c r="A55" s="3" t="inlineStr">
        <is>
          <t>예비비 (결혼 준비 비용 합계 × 예비비율, 원)</t>
        </is>
      </c>
      <c r="B55" s="11">
        <f>B39*B54</f>
        <v/>
      </c>
    </row>
    <row r="56">
      <c r="A56" s="3" t="inlineStr">
        <is>
          <t>★★ 예비비 포함 결혼 준비 총예산 (원)</t>
        </is>
      </c>
      <c r="B56" s="11">
        <f>B39+B55</f>
        <v/>
      </c>
    </row>
    <row r="57">
      <c r="A57" s="3" t="inlineStr">
        <is>
          <t>★★ 예비비 포함 순지출 — 평균 축의금 기준 (원)</t>
        </is>
      </c>
      <c r="B57" s="11">
        <f>B51+B55</f>
        <v/>
      </c>
    </row>
    <row r="59">
      <c r="A59" s="5" t="inlineStr">
        <is>
          <t>⑩ 예비부부 분담 비율 비교 (A:50:50 / B:전통관례 / C:소득비율)</t>
        </is>
      </c>
    </row>
    <row r="60">
      <c r="A60" s="3" t="inlineStr">
        <is>
          <t>C방식에 쓸 신랑측 소득 비율 (%, 나머지는 신부측)</t>
        </is>
      </c>
      <c r="B60" s="10" t="n">
        <v>0.55</v>
      </c>
    </row>
    <row r="61">
      <c r="A61" s="6" t="inlineStr">
        <is>
          <t>항목</t>
        </is>
      </c>
      <c r="B61" s="6" t="inlineStr">
        <is>
          <t>금액(원)</t>
        </is>
      </c>
      <c r="C61" s="6" t="inlineStr">
        <is>
          <t>A:신랑(원)</t>
        </is>
      </c>
      <c r="D61" s="6" t="inlineStr">
        <is>
          <t>A:신부(원)</t>
        </is>
      </c>
      <c r="E61" s="6" t="inlineStr">
        <is>
          <t>B:신랑(원)</t>
        </is>
      </c>
      <c r="F61" s="6" t="inlineStr">
        <is>
          <t>B:신부(원)</t>
        </is>
      </c>
      <c r="G61" s="6" t="inlineStr">
        <is>
          <t>C:신랑(원)</t>
        </is>
      </c>
      <c r="H61" s="6" t="inlineStr">
        <is>
          <t>C:신부(원)</t>
        </is>
      </c>
    </row>
    <row r="62">
      <c r="A62" s="7" t="inlineStr">
        <is>
          <t>예식장(대관료+식대)</t>
        </is>
      </c>
      <c r="B62" s="12">
        <f>B17</f>
        <v/>
      </c>
      <c r="C62" s="12">
        <f>B62*0.5</f>
        <v/>
      </c>
      <c r="D62" s="12">
        <f>B62*0.5</f>
        <v/>
      </c>
      <c r="E62" s="12">
        <f>B62</f>
        <v/>
      </c>
      <c r="F62" s="12" t="n">
        <v>0</v>
      </c>
      <c r="G62" s="12">
        <f>B62*$B$60</f>
        <v/>
      </c>
      <c r="H62" s="12">
        <f>B62*(1-$B$60)</f>
        <v/>
      </c>
    </row>
    <row r="63">
      <c r="A63" s="7" t="inlineStr">
        <is>
          <t>스드메</t>
        </is>
      </c>
      <c r="B63" s="12">
        <f>B22</f>
        <v/>
      </c>
      <c r="C63" s="12">
        <f>B63*0.5</f>
        <v/>
      </c>
      <c r="D63" s="12">
        <f>B63*0.5</f>
        <v/>
      </c>
      <c r="E63" s="12" t="n">
        <v>0</v>
      </c>
      <c r="F63" s="12">
        <f>B63</f>
        <v/>
      </c>
      <c r="G63" s="12">
        <f>B63*$B$60</f>
        <v/>
      </c>
      <c r="H63" s="12">
        <f>B63*(1-$B$60)</f>
        <v/>
      </c>
    </row>
    <row r="64">
      <c r="A64" s="7" t="inlineStr">
        <is>
          <t>혼수·가전·가구</t>
        </is>
      </c>
      <c r="B64" s="12">
        <f>B29</f>
        <v/>
      </c>
      <c r="C64" s="12">
        <f>B64*0.5</f>
        <v/>
      </c>
      <c r="D64" s="12">
        <f>B64*0.5</f>
        <v/>
      </c>
      <c r="E64" s="12" t="n">
        <v>0</v>
      </c>
      <c r="F64" s="12">
        <f>B64</f>
        <v/>
      </c>
      <c r="G64" s="12">
        <f>B64*$B$60</f>
        <v/>
      </c>
      <c r="H64" s="12">
        <f>B64*(1-$B$60)</f>
        <v/>
      </c>
    </row>
    <row r="65">
      <c r="A65" s="7" t="inlineStr">
        <is>
          <t>신혼여행</t>
        </is>
      </c>
      <c r="B65" s="12">
        <f>B36</f>
        <v/>
      </c>
      <c r="C65" s="12">
        <f>B65*0.5</f>
        <v/>
      </c>
      <c r="D65" s="12">
        <f>B65*0.5</f>
        <v/>
      </c>
      <c r="E65" s="12">
        <f>B65</f>
        <v/>
      </c>
      <c r="F65" s="12" t="n">
        <v>0</v>
      </c>
      <c r="G65" s="12">
        <f>B65*$B$60</f>
        <v/>
      </c>
      <c r="H65" s="12">
        <f>B65*(1-$B$60)</f>
        <v/>
      </c>
    </row>
    <row r="66">
      <c r="A66" s="7" t="inlineStr">
        <is>
          <t>예비비</t>
        </is>
      </c>
      <c r="B66" s="12">
        <f>B55</f>
        <v/>
      </c>
      <c r="C66" s="12">
        <f>B66*0.5</f>
        <v/>
      </c>
      <c r="D66" s="12">
        <f>B66*0.5</f>
        <v/>
      </c>
      <c r="E66" s="12">
        <f>B66*0.5</f>
        <v/>
      </c>
      <c r="F66" s="12">
        <f>B66*0.5</f>
        <v/>
      </c>
      <c r="G66" s="12">
        <f>B66*$B$60</f>
        <v/>
      </c>
      <c r="H66" s="12">
        <f>B66*(1-$B$60)</f>
        <v/>
      </c>
    </row>
    <row r="67">
      <c r="A67" s="5" t="inlineStr">
        <is>
          <t>★ 합계</t>
        </is>
      </c>
      <c r="B67" s="11">
        <f>SUM(B62:B66)</f>
        <v/>
      </c>
      <c r="C67" s="11">
        <f>SUM(C62:C66)</f>
        <v/>
      </c>
      <c r="D67" s="11">
        <f>SUM(D62:D66)</f>
        <v/>
      </c>
      <c r="E67" s="11">
        <f>SUM(E62:E66)</f>
        <v/>
      </c>
      <c r="F67" s="11">
        <f>SUM(F62:F66)</f>
        <v/>
      </c>
      <c r="G67" s="11">
        <f>SUM(G62:G66)</f>
        <v/>
      </c>
      <c r="H67" s="11">
        <f>SUM(H62:H66)</f>
        <v/>
      </c>
    </row>
    <row r="69">
      <c r="A69" s="13" t="inlineStr">
        <is>
          <t>⚠ 전통관례(B방식)는 "신랑측이 예식장·신혼여행, 신부측이 스드메·혼수를 주로 부담"하는</t>
        </is>
      </c>
    </row>
    <row r="70">
      <c r="A70" s="13" t="inlineStr">
        <is>
          <t>가장 흔한 관례를 단순화한 예시입니다. 실제 분담은 정답이 없으니 예비부부(와 양가)가 직접 합의하세요.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2026-10-11T21:27:06Z</dcterms:created>
  <dcterms:modified xmlns:dcterms="http://purl.org/dc/terms/" xmlns:xsi="http://www.w3.org/2001/XMLSchema-instance" xsi:type="dcterms:W3CDTF">2026-10-11T21:27:06Z</dcterms:modified>
</cp:coreProperties>
</file>