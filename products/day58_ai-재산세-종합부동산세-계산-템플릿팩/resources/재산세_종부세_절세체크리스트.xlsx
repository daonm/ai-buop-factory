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주요일정계산기" sheetId="2" state="visible" r:id="rId2"/>
    <sheet xmlns:r="http://schemas.openxmlformats.org/officeDocument/2006/relationships" name="절세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  <sz val="11"/>
    </font>
    <font>
      <color rgb="00262C3D"/>
      <sz val="10.5"/>
    </font>
    <font>
      <color rgb="00565F72"/>
      <sz val="9.5"/>
    </font>
    <font>
      <b val="1"/>
      <color rgb="00262C3D"/>
      <sz val="11"/>
    </font>
    <font>
      <color rgb="00262C3D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E3E6CE"/>
      </patternFill>
    </fill>
    <fill>
      <patternFill patternType="solid">
        <fgColor rgb="00B87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1" fontId="6" fillId="2" borderId="0" pivotButton="0" quotePrefix="0" xfId="0"/>
    <xf numFmtId="164" fontId="5" fillId="3" borderId="0" pivotButton="0" quotePrefix="0" xfId="0"/>
    <xf numFmtId="1" fontId="5" fillId="3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재산세·종합부동산세 절세 체크리스트 &amp; 주요일정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재산세·종부세 상담 시 놓치기 쉬운 절세 포인트 12개를 재산세/종부세/공통 3개 그룹으로 정리하고,</t>
        </is>
      </c>
    </row>
    <row r="6">
      <c r="B6" s="3" t="inlineStr">
        <is>
          <t>과세기준일(6월 1일) 기준으로 재산세·종부세 납부기한 D-day를 자동 계산하는 도구입니다.</t>
        </is>
      </c>
    </row>
    <row r="8">
      <c r="B8" s="2" t="inlineStr">
        <is>
          <t>사용법</t>
        </is>
      </c>
    </row>
    <row r="9">
      <c r="B9" s="3" t="inlineStr">
        <is>
          <t>① '주요일정계산기' 시트에서 과세연도를 입력하면 재산세 1·2기, 종부세 납부기한과 D-day가 자동으로 나옵니다.</t>
        </is>
      </c>
    </row>
    <row r="10">
      <c r="B10" s="3" t="inlineStr">
        <is>
          <t>② '절세체크리스트' 시트에서 해당 항목의 '확인여부' 칸을 '확인완료/미확인'으로 체크하며 진행합니다.</t>
        </is>
      </c>
    </row>
    <row r="11">
      <c r="B11" s="3" t="inlineStr">
        <is>
          <t>③ 체크가 끝나면 '의뢰접수_고객리포트_템플릿.docx'로 넘어가 고객에게 리포트를 전달하세요.</t>
        </is>
      </c>
    </row>
    <row r="13" ht="60" customHeight="1">
      <c r="B13" s="4" t="inlineStr">
        <is>
          <t>절세 포인트와 일정은 일반적으로 알려진 기준을 정리한 참고용 자료입니다. 공제금액·세율·상한 비율은 세제개편으로 바뀔 수 있고, 적용 가능 여부는 개별 조건(공동명의 신청 이력, 임대주택 등록 여부 등)에 따라 달라질 수 있으니 실제 적용 전 위택스·국세청 홈택스 또는 세무사 확인으로 반드시 재확인하세요. 이 도구는 세무사 업무(신고 대리 등)를 대신하지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16" customWidth="1" min="3" max="3"/>
    <col width="40" customWidth="1" min="4" max="4"/>
  </cols>
  <sheetData>
    <row r="1">
      <c r="A1" s="1" t="inlineStr">
        <is>
          <t>재산세·종부세 주요일정 계산기</t>
        </is>
      </c>
    </row>
    <row r="3">
      <c r="A3" s="5" t="inlineStr">
        <is>
          <t>① 조건 입력</t>
        </is>
      </c>
    </row>
    <row r="4">
      <c r="A4" s="6" t="inlineStr">
        <is>
          <t>과세연도</t>
        </is>
      </c>
      <c r="B4" s="7" t="n">
        <v>2026</v>
      </c>
    </row>
    <row r="6">
      <c r="A6" s="5" t="inlineStr">
        <is>
          <t>② 일정 자동 계산</t>
        </is>
      </c>
    </row>
    <row r="7">
      <c r="A7" s="6" t="inlineStr">
        <is>
          <t>오늘 날짜</t>
        </is>
      </c>
      <c r="B7" s="8">
        <f>TODAY()</f>
        <v/>
      </c>
    </row>
    <row r="8">
      <c r="A8" s="6" t="inlineStr">
        <is>
          <t>재산세 1기 납부기한 (7/16~7/31, 토지·건축물 일부)</t>
        </is>
      </c>
      <c r="B8" s="8">
        <f>DATE(B4,7,31)</f>
        <v/>
      </c>
    </row>
    <row r="9">
      <c r="A9" s="6" t="inlineStr">
        <is>
          <t>재산세 2기 납부기한 (9/16~9/30, 주택분 2기)</t>
        </is>
      </c>
      <c r="B9" s="8">
        <f>DATE(B4,9,30)</f>
        <v/>
      </c>
    </row>
    <row r="10">
      <c r="A10" s="6" t="inlineStr">
        <is>
          <t>재산세 분할납부 신청기한 (고지서 수령 후, 각 기한 전까지)</t>
        </is>
      </c>
      <c r="B10" s="8">
        <f>DATE(B4,9,30)</f>
        <v/>
      </c>
    </row>
    <row r="11">
      <c r="A11" s="6" t="inlineStr">
        <is>
          <t>종합부동산세 납부기한 (12/1~12/15)</t>
        </is>
      </c>
      <c r="B11" s="8">
        <f>DATE(B4,12,15)</f>
        <v/>
      </c>
    </row>
    <row r="12">
      <c r="A12" s="6" t="inlineStr">
        <is>
          <t>종부세 분납 신청기한 (고지서 수령 후 6개월 이내)</t>
        </is>
      </c>
      <c r="B12" s="8">
        <f>DATE(B4,12,15)+180</f>
        <v/>
      </c>
    </row>
    <row r="13">
      <c r="A13" s="5" t="inlineStr">
        <is>
          <t>③ 가장 가까운 일정까지 D-day</t>
        </is>
      </c>
    </row>
    <row r="14">
      <c r="A14" s="6" t="inlineStr">
        <is>
          <t>다음 납부기한까지 D-day</t>
        </is>
      </c>
      <c r="B14" s="9">
        <f>MIN(IF(B8&gt;=B7,B8-B7,9999),IF(B9&gt;=B7,B9-B7,9999),IF(B11&gt;=B7,B11-B7,9999))</f>
        <v/>
      </c>
    </row>
    <row r="16" ht="30" customHeight="1">
      <c r="A16" s="4" t="inlineStr">
        <is>
          <t>⚠ 재산세 과세기준일은 매년 6월 1일(그날 현재 소유자가 납세의무자), 종부세 과세기준일도 동일합니다. 250만원 초과 시 분할납부(재산세) 또는 분납(종부세) 신청이 가능하므로 금액이 크면 반드시 안내하세요.</t>
        </is>
      </c>
    </row>
  </sheetData>
  <mergeCells count="1"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" customWidth="1" min="1" max="1"/>
    <col width="54" customWidth="1" min="2" max="2"/>
    <col width="16" customWidth="1" min="3" max="3"/>
    <col width="42" customWidth="1" min="4" max="4"/>
  </cols>
  <sheetData>
    <row r="1">
      <c r="A1" s="1" t="inlineStr">
        <is>
          <t>재산세·종부세 절세 체크리스트</t>
        </is>
      </c>
    </row>
    <row r="3">
      <c r="A3" s="2" t="inlineStr">
        <is>
          <t>▸ 재산세 절세 체크</t>
        </is>
      </c>
    </row>
    <row r="4">
      <c r="A4" s="10" t="inlineStr">
        <is>
          <t>No</t>
        </is>
      </c>
      <c r="B4" s="10" t="inlineStr">
        <is>
          <t>절세 체크 항목</t>
        </is>
      </c>
      <c r="C4" s="10" t="inlineStr">
        <is>
          <t>확인여부</t>
        </is>
      </c>
      <c r="D4" s="10" t="inlineStr">
        <is>
          <t>비고</t>
        </is>
      </c>
    </row>
    <row r="5">
      <c r="A5" s="6" t="n">
        <v>1</v>
      </c>
      <c r="B5" s="6" t="inlineStr">
        <is>
          <t>1세대1주택 특례세율(공시가격 9억원 이하) 적용 대상인지 확인</t>
        </is>
      </c>
      <c r="C5" s="6" t="inlineStr">
        <is>
          <t>미확인</t>
        </is>
      </c>
      <c r="D5" s="6" t="inlineStr">
        <is>
          <t>세대원 전체 보유 현황 기준으로 판단, 배우자 단독 보유도 세대 기준</t>
        </is>
      </c>
    </row>
    <row r="6">
      <c r="A6" s="6" t="n">
        <v>2</v>
      </c>
      <c r="B6" s="6" t="inlineStr">
        <is>
          <t>재산세 세부담상한 적용 여부 확인(전년 대비 급등 시)</t>
        </is>
      </c>
      <c r="C6" s="6" t="inlineStr">
        <is>
          <t>미확인</t>
        </is>
      </c>
      <c r="D6" s="6" t="inlineStr">
        <is>
          <t>전년도 재산세액을 모르면 '재산세_계산기.xlsx'로 역산 추정</t>
        </is>
      </c>
    </row>
    <row r="7">
      <c r="A7" s="6" t="n">
        <v>3</v>
      </c>
      <c r="B7" s="6" t="inlineStr">
        <is>
          <t>250만원 초과 시 분할납부 신청 여부 확인</t>
        </is>
      </c>
      <c r="C7" s="6" t="inlineStr">
        <is>
          <t>미확인</t>
        </is>
      </c>
      <c r="D7" s="6" t="inlineStr">
        <is>
          <t>각 납부기한(7/31, 9/30) 전까지 지자체에 신청</t>
        </is>
      </c>
    </row>
    <row r="8">
      <c r="A8" s="6" t="n">
        <v>4</v>
      </c>
      <c r="B8" s="6" t="inlineStr">
        <is>
          <t>신용카드 무이자할부 납부 활용 여부 확인</t>
        </is>
      </c>
      <c r="C8" s="6" t="inlineStr">
        <is>
          <t>미확인</t>
        </is>
      </c>
      <c r="D8" s="6" t="inlineStr">
        <is>
          <t>카드사별 무이자할부 행사 기간 상이, 위택스에서 확인</t>
        </is>
      </c>
    </row>
    <row r="9">
      <c r="A9" s="6" t="n">
        <v>5</v>
      </c>
      <c r="B9" s="6" t="inlineStr">
        <is>
          <t>도시지역분 부과 대상 여부 재확인(지역별 상이)</t>
        </is>
      </c>
      <c r="C9" s="6" t="inlineStr">
        <is>
          <t>미확인</t>
        </is>
      </c>
      <c r="D9" s="6" t="inlineStr">
        <is>
          <t>관할 지자체 세무과·위택스에서 확인 필요</t>
        </is>
      </c>
    </row>
    <row r="11">
      <c r="A11" s="2" t="inlineStr">
        <is>
          <t>▸ 종합부동산세 절세 체크</t>
        </is>
      </c>
    </row>
    <row r="12">
      <c r="A12" s="10" t="inlineStr">
        <is>
          <t>No</t>
        </is>
      </c>
      <c r="B12" s="10" t="inlineStr">
        <is>
          <t>절세 체크 항목</t>
        </is>
      </c>
      <c r="C12" s="10" t="inlineStr">
        <is>
          <t>확인여부</t>
        </is>
      </c>
      <c r="D12" s="10" t="inlineStr">
        <is>
          <t>비고</t>
        </is>
      </c>
    </row>
    <row r="13">
      <c r="A13" s="6" t="n">
        <v>6</v>
      </c>
      <c r="B13" s="6" t="inlineStr">
        <is>
          <t>공동명의 분산 검토 여부</t>
        </is>
      </c>
      <c r="C13" s="6" t="inlineStr">
        <is>
          <t>미확인</t>
        </is>
      </c>
      <c r="D13" s="6" t="inlineStr">
        <is>
          <t>'단독명의_vs_공동명의_절세비교_계산기.xlsx'로 세금 차이 비교</t>
        </is>
      </c>
    </row>
    <row r="14">
      <c r="A14" s="6" t="n">
        <v>7</v>
      </c>
      <c r="B14" s="6" t="inlineStr">
        <is>
          <t>고령자·장기보유 세액공제 신청 여부(1세대1주택만)</t>
        </is>
      </c>
      <c r="C14" s="6" t="inlineStr">
        <is>
          <t>미확인</t>
        </is>
      </c>
      <c r="D14" s="6" t="inlineStr">
        <is>
          <t>두 공제 중복 적용 가능, 합산 한도 80%</t>
        </is>
      </c>
    </row>
    <row r="15">
      <c r="A15" s="6" t="n">
        <v>8</v>
      </c>
      <c r="B15" s="6" t="inlineStr">
        <is>
          <t>임대주택 등록·합산배제 신청 여부(해당 시)</t>
        </is>
      </c>
      <c r="C15" s="6" t="inlineStr">
        <is>
          <t>미확인</t>
        </is>
      </c>
      <c r="D15" s="6" t="inlineStr">
        <is>
          <t>등록임대주택은 종부세 과세대상에서 제외될 수 있음</t>
        </is>
      </c>
    </row>
    <row r="16">
      <c r="A16" s="6" t="n">
        <v>9</v>
      </c>
      <c r="B16" s="6" t="inlineStr">
        <is>
          <t>1세대1주택 특례 적용 기준일(과세기준일 6월 1일) 세대 구성 확인</t>
        </is>
      </c>
      <c r="C16" s="6" t="inlineStr">
        <is>
          <t>미확인</t>
        </is>
      </c>
      <c r="D16" s="6" t="inlineStr">
        <is>
          <t>6월 1일 이후 혼인·이혼 등 변동 시 적용 여부 달라짐</t>
        </is>
      </c>
    </row>
    <row r="17">
      <c r="A17" s="6" t="n">
        <v>10</v>
      </c>
      <c r="B17" s="6" t="inlineStr">
        <is>
          <t>종부세 250만원 초과 시 분납 신청 여부(6개월 이내)</t>
        </is>
      </c>
      <c r="C17" s="6" t="inlineStr">
        <is>
          <t>미확인</t>
        </is>
      </c>
      <c r="D17" s="6" t="inlineStr">
        <is>
          <t>고지서 수령 후 분납 신청기한 내 신청</t>
        </is>
      </c>
    </row>
    <row r="19">
      <c r="A19" s="2" t="inlineStr">
        <is>
          <t>▸ 공통 절세 체크</t>
        </is>
      </c>
    </row>
    <row r="20">
      <c r="A20" s="10" t="inlineStr">
        <is>
          <t>No</t>
        </is>
      </c>
      <c r="B20" s="10" t="inlineStr">
        <is>
          <t>절세 체크 항목</t>
        </is>
      </c>
      <c r="C20" s="10" t="inlineStr">
        <is>
          <t>확인여부</t>
        </is>
      </c>
      <c r="D20" s="10" t="inlineStr">
        <is>
          <t>비고</t>
        </is>
      </c>
    </row>
    <row r="21">
      <c r="A21" s="6" t="n">
        <v>11</v>
      </c>
      <c r="B21" s="6" t="inlineStr">
        <is>
          <t>과세기준일(6월 1일) 기준 보유·거주 현황 재확인</t>
        </is>
      </c>
      <c r="C21" s="6" t="inlineStr">
        <is>
          <t>미확인</t>
        </is>
      </c>
      <c r="D21" s="6" t="inlineStr">
        <is>
          <t>기준일 이후 매도해도 그해 세금은 기준일 소유자가 부담</t>
        </is>
      </c>
    </row>
    <row r="22">
      <c r="A22" s="6" t="n">
        <v>12</v>
      </c>
      <c r="B22" s="6" t="inlineStr">
        <is>
          <t>재산세·종부세 이중과세 조정분 반영 확인</t>
        </is>
      </c>
      <c r="C22" s="6" t="inlineStr">
        <is>
          <t>미확인</t>
        </is>
      </c>
      <c r="D22" s="6" t="inlineStr">
        <is>
          <t>종부세 계산 시 재산세 공제분을 차감하지 않으면 과대 추정됨</t>
        </is>
      </c>
    </row>
  </sheetData>
  <mergeCells count="3">
    <mergeCell ref="A3:D3"/>
    <mergeCell ref="A19:D19"/>
    <mergeCell ref="A11:D11"/>
  </mergeCells>
  <dataValidations count="1">
    <dataValidation sqref="C5 C6 C7 C8 C9 C13 C14 C15 C16 C17 C21 C22" showDropDown="0" showInputMessage="0" showErrorMessage="0" allowBlank="0" type="list">
      <formula1>"확인완료,미확인"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2026-10-15T21:31:10Z</dcterms:created>
  <dcterms:modified xmlns:dcterms="http://purl.org/dc/terms/" xmlns:xsi="http://www.w3.org/2001/XMLSchema-instance" xsi:type="dcterms:W3CDTF">2026-10-15T21:31:10Z</dcterms:modified>
</cp:coreProperties>
</file>