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b val="1"/>
      <color rgb="00FFFFFF"/>
      <sz val="11"/>
    </font>
    <font>
      <color rgb="00262C3D"/>
      <sz val="11"/>
    </font>
    <font>
      <b val="1"/>
      <color rgb="00262C3D"/>
      <sz val="12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pivotButton="0" quotePrefix="0" xfId="0"/>
    <xf numFmtId="3" fontId="7" fillId="0" borderId="0" pivotButton="0" quotePrefix="0" xfId="0"/>
    <xf numFmtId="10" fontId="7" fillId="0" borderId="0" pivotButton="0" quotePrefix="0" xfId="0"/>
    <xf numFmtId="0" fontId="7" fillId="0" borderId="0" pivotButton="0" quotePrefix="0" xfId="0"/>
    <xf numFmtId="3" fontId="7" fillId="3" borderId="0" pivotButton="0" quotePrefix="0" xfId="0"/>
    <xf numFmtId="0" fontId="7" fillId="3" borderId="0" pivotButton="0" quotePrefix="0" xfId="0"/>
    <xf numFmtId="10" fontId="5" fillId="4" borderId="0" pivotButton="0" quotePrefix="0" xfId="0"/>
    <xf numFmtId="3" fontId="5" fillId="4" borderId="0" pivotButton="0" quotePrefix="0" xfId="0"/>
    <xf numFmtId="0" fontId="5" fillId="4" borderId="0" pivotButton="0" quotePrefix="0" xfId="0"/>
    <xf numFmtId="9" fontId="5" fillId="4" borderId="0" pivotButton="0" quotePrefix="0" xfId="0"/>
    <xf numFmtId="3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재산세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주택분 재산세의 과세표준(공정시장가액비율)·세율(일반세율/1세대1주택 특례세율)·</t>
        </is>
      </c>
    </row>
    <row r="6">
      <c r="B6" s="3" t="inlineStr">
        <is>
          <t>도시지역분·지방교육세·세부담상한을 반영해 재산세 예상 고지액을 계산하는 참고용 도구입니다.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 상단의 일반세율표·1세대1주택 특례세율표를 확인합니다.</t>
        </is>
      </c>
    </row>
    <row r="10">
      <c r="B10" s="3" t="inlineStr">
        <is>
          <t>② 노란색 칸에 공시가격, 1세대1주택 여부, 도시지역 해당 여부, 작년 재산세액을 입력합니다.</t>
        </is>
      </c>
    </row>
    <row r="11">
      <c r="B11" s="3" t="inlineStr">
        <is>
          <t>③ 올리브색 칸에서 공정시장가액비율 적용 → 과세표준 → 적용세율 판정 → 재산세 본세 → 도시지역분 → 지방교육세</t>
        </is>
      </c>
    </row>
    <row r="12">
      <c r="B12" s="3" t="inlineStr">
        <is>
          <t xml:space="preserve">   → 세부담상한 적용 전 합계 → 세부담상한 반영 최종 고지 예상액까지 자동 계산됩니다.</t>
        </is>
      </c>
    </row>
    <row r="13">
      <c r="B13" s="3" t="inlineStr">
        <is>
          <t>④ 세대 전체 보유 주택의 공시가격 합계가 크다면 '종합부동산세_계산기.xlsx'로 넘어가 종부세 대상 여부까지 확인하세요.</t>
        </is>
      </c>
    </row>
    <row r="15" ht="60" customHeight="1">
      <c r="B15" s="4" t="inlineStr">
        <is>
          <t>이 계산기는 확정 고지액이 아니라 참고용 추정치입니다. 공정시장가액비율·세율 구간·세부담상한 비율은 세제개편으로 바뀔 수 있으므로, 실제 적용 시 위택스(wetax.go.kr)·행정안전부 고시로 반드시 재확인하세요. 도시지역분 부과 여부는 지자체·지역에 따라 다르므로 관할 세무과에 별도로 확인해야 합니다. 이 도구는 세무사 업무(신고 대리 등)를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0" customWidth="1" min="3" max="3"/>
    <col width="30" customWidth="1" min="4" max="4"/>
    <col width="26" customWidth="1" min="5" max="5"/>
    <col width="20" customWidth="1" min="6" max="6"/>
  </cols>
  <sheetData>
    <row r="1">
      <c r="A1" s="1" t="inlineStr">
        <is>
          <t>재산세 계산기</t>
        </is>
      </c>
    </row>
    <row r="3">
      <c r="A3" s="5" t="inlineStr">
        <is>
          <t>① 재산세 세율표 (일반세율 / 1세대1주택 특례세율)</t>
        </is>
      </c>
    </row>
    <row r="4">
      <c r="A4" s="6" t="inlineStr">
        <is>
          <t>과세표준 구간 시작(원)</t>
        </is>
      </c>
      <c r="B4" s="6" t="inlineStr">
        <is>
          <t>일반세율</t>
        </is>
      </c>
      <c r="C4" s="6" t="inlineStr">
        <is>
          <t>일반 누진공제액(원)</t>
        </is>
      </c>
      <c r="D4" s="6" t="inlineStr">
        <is>
          <t>특례세율(공시가 9억↓·1주택)</t>
        </is>
      </c>
      <c r="E4" s="6" t="inlineStr">
        <is>
          <t>특례 누진공제액(원)</t>
        </is>
      </c>
    </row>
    <row r="5">
      <c r="A5" s="7" t="n">
        <v>0</v>
      </c>
      <c r="B5" s="8" t="n">
        <v>0.001</v>
      </c>
      <c r="C5" s="7" t="n">
        <v>0</v>
      </c>
      <c r="D5" s="8" t="n">
        <v>0.0005</v>
      </c>
      <c r="E5" s="7" t="n">
        <v>0</v>
      </c>
    </row>
    <row r="6">
      <c r="A6" s="7" t="n">
        <v>60000000</v>
      </c>
      <c r="B6" s="8" t="n">
        <v>0.0015</v>
      </c>
      <c r="C6" s="7" t="n">
        <v>30000</v>
      </c>
      <c r="D6" s="8" t="n">
        <v>0.001</v>
      </c>
      <c r="E6" s="7" t="n">
        <v>30000</v>
      </c>
    </row>
    <row r="7">
      <c r="A7" s="7" t="n">
        <v>150000000</v>
      </c>
      <c r="B7" s="8" t="n">
        <v>0.0025</v>
      </c>
      <c r="C7" s="7" t="n">
        <v>180000</v>
      </c>
      <c r="D7" s="8" t="n">
        <v>0.002</v>
      </c>
      <c r="E7" s="7" t="n">
        <v>180000</v>
      </c>
    </row>
    <row r="8">
      <c r="A8" s="7" t="n">
        <v>300000000</v>
      </c>
      <c r="B8" s="8" t="n">
        <v>0.004</v>
      </c>
      <c r="C8" s="7" t="n">
        <v>630000</v>
      </c>
      <c r="D8" s="8" t="n">
        <v>0.0035</v>
      </c>
      <c r="E8" s="7" t="n">
        <v>630000</v>
      </c>
    </row>
    <row r="10">
      <c r="A10" s="5" t="inlineStr">
        <is>
          <t>② 조건 입력</t>
        </is>
      </c>
    </row>
    <row r="11">
      <c r="A11" s="9" t="inlineStr">
        <is>
          <t>공시가격 (원)</t>
        </is>
      </c>
      <c r="B11" s="10" t="n">
        <v>1000000000</v>
      </c>
    </row>
    <row r="12">
      <c r="A12" s="9" t="inlineStr">
        <is>
          <t>1세대1주택 여부 (예/아니오, 세대원 전체 보유 현황 기준)</t>
        </is>
      </c>
      <c r="B12" s="11" t="inlineStr">
        <is>
          <t>예</t>
        </is>
      </c>
    </row>
    <row r="13">
      <c r="A13" s="9" t="inlineStr">
        <is>
          <t>도시지역 해당 여부 (예/아니오, 관할 지자체 확인)</t>
        </is>
      </c>
      <c r="B13" s="11" t="inlineStr">
        <is>
          <t>예</t>
        </is>
      </c>
    </row>
    <row r="14">
      <c r="A14" s="9" t="inlineStr">
        <is>
          <t>작년 재산세액 (원, 모르면 0 입력 → 세부담상한 미반영)</t>
        </is>
      </c>
      <c r="B14" s="10" t="n">
        <v>0</v>
      </c>
    </row>
    <row r="16">
      <c r="A16" s="5" t="inlineStr">
        <is>
          <t>③ 과세표준 · 세율 · 세액 계산</t>
        </is>
      </c>
    </row>
    <row r="17">
      <c r="A17" s="9" t="inlineStr">
        <is>
          <t>공정시장가액비율 (1세대1주택 공시가 구간별 43~45% / 다주택·일반 60%)</t>
        </is>
      </c>
      <c r="B17" s="12">
        <f>IF(B12="예",IF(B11&lt;=300000000,0.43,IF(B11&lt;=600000000,0.44,0.45)),0.6)</f>
        <v/>
      </c>
    </row>
    <row r="18">
      <c r="A18" s="9" t="inlineStr">
        <is>
          <t>과세표준 (공시가격 × 공정시장가액비율, 원)</t>
        </is>
      </c>
      <c r="B18" s="13">
        <f>B11*B17</f>
        <v/>
      </c>
    </row>
    <row r="19">
      <c r="A19" s="9" t="inlineStr">
        <is>
          <t>특례세율 적용 대상 여부 (1세대1주택 &amp; 공시가 9억원 이하)</t>
        </is>
      </c>
      <c r="B19" s="14">
        <f>IF(AND(B12="예",B11&lt;=900000000),"적용","미적용")</f>
        <v/>
      </c>
    </row>
    <row r="20">
      <c r="A20" s="9" t="inlineStr">
        <is>
          <t>적용 세율</t>
        </is>
      </c>
      <c r="B20" s="12">
        <f>IF(B19="적용",VLOOKUP(B18,A5:E8,4,TRUE),VLOOKUP(B18,A5:C8,2,TRUE))</f>
        <v/>
      </c>
    </row>
    <row r="21">
      <c r="A21" s="9" t="inlineStr">
        <is>
          <t>적용 누진공제액 (원)</t>
        </is>
      </c>
      <c r="B21" s="13">
        <f>IF(B19="적용",VLOOKUP(B18,A5:E8,5,TRUE),VLOOKUP(B18,A5:C8,3,TRUE))</f>
        <v/>
      </c>
    </row>
    <row r="22">
      <c r="A22" s="9" t="inlineStr">
        <is>
          <t>재산세 본세 (과세표준×적용세율-누진공제액, 원)</t>
        </is>
      </c>
      <c r="B22" s="13">
        <f>MAX(B18*B20-B21,0)</f>
        <v/>
      </c>
    </row>
    <row r="23">
      <c r="A23" s="9" t="inlineStr">
        <is>
          <t>도시지역분 (과세표준 × 0.14%, 도시지역 해당 시, 원)</t>
        </is>
      </c>
      <c r="B23" s="13">
        <f>IF(B13="예",B18*0.0014,0)</f>
        <v/>
      </c>
    </row>
    <row r="24">
      <c r="A24" s="9" t="inlineStr">
        <is>
          <t>지방교육세 (재산세 본세 × 20%, 도시지역분 제외, 원)</t>
        </is>
      </c>
      <c r="B24" s="13">
        <f>B22*0.2</f>
        <v/>
      </c>
    </row>
    <row r="25">
      <c r="A25" s="9" t="inlineStr">
        <is>
          <t>세부담상한 적용 전 합계 (본세+도시지역분+지방교육세, 원)</t>
        </is>
      </c>
      <c r="B25" s="13">
        <f>B22+B23+B24</f>
        <v/>
      </c>
    </row>
    <row r="27">
      <c r="A27" s="5" t="inlineStr">
        <is>
          <t>④ 세부담상한 반영 최종 고지 예상액</t>
        </is>
      </c>
    </row>
    <row r="28">
      <c r="A28" s="9" t="inlineStr">
        <is>
          <t>세부담상한 비율 (1세대1주택 공시가 구간별 105~130% / 다주택·일반 150%)</t>
        </is>
      </c>
      <c r="B28" s="15">
        <f>IF(B12="예",IF(B11&lt;=300000000,1.05,IF(B11&lt;=600000000,1.1,1.3)),1.5)</f>
        <v/>
      </c>
    </row>
    <row r="29">
      <c r="A29" s="9" t="inlineStr">
        <is>
          <t>★ 최종 고지 예상액 (세부담상한 반영, 원)</t>
        </is>
      </c>
      <c r="B29" s="16">
        <f>IF(B14=0,B25,MIN(B25,B14*B28))</f>
        <v/>
      </c>
    </row>
    <row r="31" ht="30" customHeight="1">
      <c r="A31" s="4" t="inlineStr">
        <is>
          <t>⚠ 작년 재산세액을 모르면 0으로 입력하세요 — 이 경우 세부담상한을 반영하지 않은 금액(세부담상한 적용 전 합계)이 그대로 최종값에 표시됩니다. 전년도 고지서 금액을 입력할수록 실제 고지액에 더 가까운 추정이 가능합니다.</t>
        </is>
      </c>
    </row>
  </sheetData>
  <mergeCells count="1">
    <mergeCell ref="A31:E31"/>
  </mergeCells>
  <dataValidations count="2">
    <dataValidation sqref="B12" showDropDown="0" showInputMessage="0" showErrorMessage="0" allowBlank="0" type="list">
      <formula1>"예,아니오"</formula1>
    </dataValidation>
    <dataValidation sqref="B13" showDropDown="0" showInputMessage="0" showErrorMessage="0" allowBlank="0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2026-10-15T21:27:32Z</dcterms:created>
  <dcterms:modified xmlns:dcterms="http://purl.org/dc/terms/" xmlns:xsi="http://www.w3.org/2001/XMLSchema-instance" xsi:type="dcterms:W3CDTF">2026-10-15T21:27:32Z</dcterms:modified>
</cp:coreProperties>
</file>