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계산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262C3D"/>
      <sz val="14"/>
    </font>
    <font>
      <b val="1"/>
      <color rgb="00B87F1F"/>
      <sz val="11"/>
    </font>
    <font>
      <color rgb="00262C3D"/>
      <sz val="10.5"/>
    </font>
    <font>
      <color rgb="00565F72"/>
      <sz val="9.5"/>
    </font>
    <font>
      <b val="1"/>
      <color rgb="00262C3D"/>
      <sz val="11"/>
    </font>
    <font>
      <b val="1"/>
      <color rgb="00FFFFFF"/>
      <sz val="11"/>
    </font>
    <font>
      <color rgb="00262C3D"/>
      <sz val="11"/>
    </font>
    <font>
      <b val="1"/>
      <color rgb="00262C3D"/>
      <sz val="12"/>
    </font>
  </fonts>
  <fills count="5">
    <fill>
      <patternFill/>
    </fill>
    <fill>
      <patternFill patternType="gray125"/>
    </fill>
    <fill>
      <patternFill patternType="solid">
        <fgColor rgb="00B87F1F"/>
      </patternFill>
    </fill>
    <fill>
      <patternFill patternType="solid">
        <fgColor rgb="00FFF6D9"/>
      </patternFill>
    </fill>
    <fill>
      <patternFill patternType="solid">
        <fgColor rgb="00E3E6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5" fillId="0" borderId="0" pivotButton="0" quotePrefix="0" xfId="0"/>
    <xf numFmtId="0" fontId="6" fillId="2" borderId="0" pivotButton="0" quotePrefix="0" xfId="0"/>
    <xf numFmtId="3" fontId="7" fillId="0" borderId="0" pivotButton="0" quotePrefix="0" xfId="0"/>
    <xf numFmtId="10" fontId="7" fillId="0" borderId="0" pivotButton="0" quotePrefix="0" xfId="0"/>
    <xf numFmtId="0" fontId="7" fillId="0" borderId="0" pivotButton="0" quotePrefix="0" xfId="0"/>
    <xf numFmtId="3" fontId="7" fillId="3" borderId="0" pivotButton="0" quotePrefix="0" xfId="0"/>
    <xf numFmtId="0" fontId="7" fillId="3" borderId="0" pivotButton="0" quotePrefix="0" xfId="0"/>
    <xf numFmtId="3" fontId="5" fillId="4" borderId="0" pivotButton="0" quotePrefix="0" xfId="0"/>
    <xf numFmtId="10" fontId="5" fillId="4" borderId="0" pivotButton="0" quotePrefix="0" xfId="0"/>
    <xf numFmtId="0" fontId="8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6"/>
  <sheetViews>
    <sheetView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>
      <c r="B2" s="1" t="inlineStr">
        <is>
          <t>단독명의 vs 공동명의 절세비교 계산기</t>
        </is>
      </c>
    </row>
    <row r="4">
      <c r="B4" s="2" t="inlineStr">
        <is>
          <t>⚠ 사용 전 꼭 읽어주세요</t>
        </is>
      </c>
    </row>
    <row r="5">
      <c r="B5" s="3" t="inlineStr">
        <is>
          <t>본 계산기는 세대 전체 보유 주택의 공시가격 합계를 입력하면, (A) 1인 단독명의와 (B) 부부 공동명의(지분 50:50)</t>
        </is>
      </c>
    </row>
    <row r="6">
      <c r="B6" s="3" t="inlineStr">
        <is>
          <t>두 시나리오의 종합부동산세를 각각 계산해 공제금액 분산 효과를 비교하는 참고용 도구입니다.</t>
        </is>
      </c>
    </row>
    <row r="7">
      <c r="B7" s="3" t="inlineStr">
        <is>
          <t>(기준: 2026년 10월 확인)</t>
        </is>
      </c>
    </row>
    <row r="9">
      <c r="B9" s="2" t="inlineStr">
        <is>
          <t>사용법</t>
        </is>
      </c>
    </row>
    <row r="10">
      <c r="B10" s="3" t="inlineStr">
        <is>
          <t>① 노란색 칸에 세대 전체 공시가격 합계, 보유주택수 구분을 입력합니다.</t>
        </is>
      </c>
    </row>
    <row r="11">
      <c r="B11" s="3" t="inlineStr">
        <is>
          <t>② 올리브색 칸에서 (A) 단독명의 — 공제금액 1개(9억 또는 12억) 적용 — 와 (B) 공동명의 — 공시가격을 절반씩</t>
        </is>
      </c>
    </row>
    <row r="12">
      <c r="B12" s="3" t="inlineStr">
        <is>
          <t xml:space="preserve">   나눠 각자 공제금액 9억을 적용 — 두 시나리오의 종부세가 각각 계산되고, 마지막에 차액과 유리한 쪽이 표시됩니다.</t>
        </is>
      </c>
    </row>
    <row r="13">
      <c r="B13" s="3" t="inlineStr">
        <is>
          <t>③ 공동명의는 종부세만 유리해지는 경우가 많고 재산세는 변화가 없다는 점, 양도소득세·증여세 등 다른 세목에는</t>
        </is>
      </c>
    </row>
    <row r="14">
      <c r="B14" s="3" t="inlineStr">
        <is>
          <t xml:space="preserve">   별도 영향이 있을 수 있다는 점을 의뢰인에게 함께 안내하세요.</t>
        </is>
      </c>
    </row>
    <row r="16" ht="60" customHeight="1">
      <c r="B16" s="4" t="inlineStr">
        <is>
          <t>이 비교는 종합부동산세 공제금액 분산 효과만 반영한 참고용 추정치입니다. 공동명의 시 1세대1주택 특례(공제 12억원) 적용 여부는 신청 방식(단독명의 특례 신청 등)에 따라 달라질 수 있어 이 계산기에서는 공동명의를 '각자 9억원 공제 개별과세'로 단순화했습니다. 실제 공동명의 전환에는 취득세·증여세·양도소득세 등 다른 세목에 미치는 영향이 함께 있으므로, 전환 전 반드시 세무사와 종합적으로 상담하세요. 이 도구는 세무사 업무를 대신하지 않습니다.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56" customWidth="1" min="1" max="1"/>
    <col width="22" customWidth="1" min="2" max="2"/>
    <col width="24" customWidth="1" min="3" max="3"/>
    <col width="24" customWidth="1" min="4" max="4"/>
  </cols>
  <sheetData>
    <row r="1">
      <c r="A1" s="1" t="inlineStr">
        <is>
          <t>단독명의 vs 공동명의 절세비교 계산기</t>
        </is>
      </c>
    </row>
    <row r="3">
      <c r="A3" s="5" t="inlineStr">
        <is>
          <t>① 종부세 세율표 (2주택 이하 기준)</t>
        </is>
      </c>
    </row>
    <row r="4">
      <c r="A4" s="6" t="inlineStr">
        <is>
          <t>과세표준 구간 시작(원)</t>
        </is>
      </c>
      <c r="B4" s="6" t="inlineStr">
        <is>
          <t>세율</t>
        </is>
      </c>
      <c r="C4" s="6" t="inlineStr">
        <is>
          <t>누진공제액(원)</t>
        </is>
      </c>
    </row>
    <row r="5">
      <c r="A5" s="7" t="n">
        <v>0</v>
      </c>
      <c r="B5" s="8" t="n">
        <v>0.005</v>
      </c>
      <c r="C5" s="7" t="n">
        <v>0</v>
      </c>
    </row>
    <row r="6">
      <c r="A6" s="7" t="n">
        <v>300000000</v>
      </c>
      <c r="B6" s="8" t="n">
        <v>0.007</v>
      </c>
      <c r="C6" s="7" t="n">
        <v>600000</v>
      </c>
    </row>
    <row r="7">
      <c r="A7" s="7" t="n">
        <v>600000000</v>
      </c>
      <c r="B7" s="8" t="n">
        <v>0.01</v>
      </c>
      <c r="C7" s="7" t="n">
        <v>2400000</v>
      </c>
    </row>
    <row r="8">
      <c r="A8" s="7" t="n">
        <v>1200000000</v>
      </c>
      <c r="B8" s="8" t="n">
        <v>0.013</v>
      </c>
      <c r="C8" s="7" t="n">
        <v>6000000</v>
      </c>
    </row>
    <row r="9">
      <c r="A9" s="7" t="n">
        <v>2500000000</v>
      </c>
      <c r="B9" s="8" t="n">
        <v>0.015</v>
      </c>
      <c r="C9" s="7" t="n">
        <v>11000000</v>
      </c>
    </row>
    <row r="10">
      <c r="A10" s="7" t="n">
        <v>5000000000</v>
      </c>
      <c r="B10" s="8" t="n">
        <v>0.02</v>
      </c>
      <c r="C10" s="7" t="n">
        <v>36000000</v>
      </c>
    </row>
    <row r="11">
      <c r="A11" s="7" t="n">
        <v>9400000000</v>
      </c>
      <c r="B11" s="8" t="n">
        <v>0.027</v>
      </c>
      <c r="C11" s="7" t="n">
        <v>101800000</v>
      </c>
    </row>
    <row r="13">
      <c r="A13" s="5" t="inlineStr">
        <is>
          <t>② 조건 입력</t>
        </is>
      </c>
    </row>
    <row r="14">
      <c r="A14" s="9" t="inlineStr">
        <is>
          <t>세대 전체 보유 주택 공시가격 합계 (원)</t>
        </is>
      </c>
      <c r="B14" s="10" t="n">
        <v>2000000000</v>
      </c>
    </row>
    <row r="15">
      <c r="A15" s="9" t="inlineStr">
        <is>
          <t>1세대1주택 여부 (예/아니오, 단독명의 시나리오에만 적용)</t>
        </is>
      </c>
      <c r="B15" s="11" t="inlineStr">
        <is>
          <t>예</t>
        </is>
      </c>
    </row>
    <row r="17">
      <c r="A17" s="5" t="inlineStr">
        <is>
          <t>③ (A) 단독명의 — 공제금액 1개 적용</t>
        </is>
      </c>
    </row>
    <row r="18">
      <c r="A18" s="9" t="inlineStr">
        <is>
          <t>공제금액 (1세대1주택 12억원 / 기타 9억원, 원)</t>
        </is>
      </c>
      <c r="B18" s="12">
        <f>IF(B15="예",1200000000,900000000)</f>
        <v/>
      </c>
    </row>
    <row r="19">
      <c r="A19" s="9" t="inlineStr">
        <is>
          <t>과세표준 ((공시가격합계-공제금액)×60%, 원)</t>
        </is>
      </c>
      <c r="B19" s="12">
        <f>MAX(B14-B18,0)*0.6</f>
        <v/>
      </c>
    </row>
    <row r="20">
      <c r="A20" s="9" t="inlineStr">
        <is>
          <t>적용 세율</t>
        </is>
      </c>
      <c r="B20" s="13">
        <f>VLOOKUP(B19,A5:C11,2,TRUE)</f>
        <v/>
      </c>
    </row>
    <row r="21">
      <c r="A21" s="9" t="inlineStr">
        <is>
          <t>누진공제액 (원)</t>
        </is>
      </c>
      <c r="B21" s="12">
        <f>VLOOKUP(B19,A5:C11,3,TRUE)</f>
        <v/>
      </c>
    </row>
    <row r="22">
      <c r="A22" s="9" t="inlineStr">
        <is>
          <t>(A) 단독명의 종부세 기본세액 (원)</t>
        </is>
      </c>
      <c r="B22" s="12">
        <f>MAX(B19*B20-B21,0)</f>
        <v/>
      </c>
    </row>
    <row r="24">
      <c r="A24" s="5" t="inlineStr">
        <is>
          <t>④ (B) 공동명의 — 부부 각 50% 지분, 각자 9억원 공제 개별과세</t>
        </is>
      </c>
    </row>
    <row r="25">
      <c r="A25" s="9" t="inlineStr">
        <is>
          <t>1인당 공시가격 (공시가격합계 ÷ 2, 원)</t>
        </is>
      </c>
      <c r="B25" s="12">
        <f>B14/2</f>
        <v/>
      </c>
    </row>
    <row r="26">
      <c r="A26" s="9" t="inlineStr">
        <is>
          <t>1인당 과세표준 ((1인당 공시가격-9억원)×60%, 원)</t>
        </is>
      </c>
      <c r="B26" s="12">
        <f>MAX(B25-900000000,0)*0.6</f>
        <v/>
      </c>
    </row>
    <row r="27">
      <c r="A27" s="9" t="inlineStr">
        <is>
          <t>1인당 적용 세율</t>
        </is>
      </c>
      <c r="B27" s="13">
        <f>VLOOKUP(B26,A5:C11,2,TRUE)</f>
        <v/>
      </c>
    </row>
    <row r="28">
      <c r="A28" s="9" t="inlineStr">
        <is>
          <t>1인당 누진공제액 (원)</t>
        </is>
      </c>
      <c r="B28" s="12">
        <f>VLOOKUP(B26,A5:C11,3,TRUE)</f>
        <v/>
      </c>
    </row>
    <row r="29">
      <c r="A29" s="9" t="inlineStr">
        <is>
          <t>1인당 종부세 기본세액 (원)</t>
        </is>
      </c>
      <c r="B29" s="12">
        <f>MAX(B26*B27-B28,0)</f>
        <v/>
      </c>
    </row>
    <row r="30">
      <c r="A30" s="9" t="inlineStr">
        <is>
          <t>(B) 공동명의 합계 종부세 기본세액 (1인당×2, 원)</t>
        </is>
      </c>
      <c r="B30" s="12">
        <f>B29*2</f>
        <v/>
      </c>
    </row>
    <row r="32">
      <c r="A32" s="5" t="inlineStr">
        <is>
          <t>⑤ 비교 결과</t>
        </is>
      </c>
    </row>
    <row r="33">
      <c r="A33" s="9" t="inlineStr">
        <is>
          <t>차액 ((A)단독명의 - (B)공동명의, 원, 양수면 공동명의가 유리)</t>
        </is>
      </c>
      <c r="B33" s="12">
        <f>B22-B30</f>
        <v/>
      </c>
    </row>
    <row r="34">
      <c r="A34" s="9" t="inlineStr">
        <is>
          <t>★ 유리한 쪽</t>
        </is>
      </c>
      <c r="B34" s="14">
        <f>IF(B33&gt;0,"공동명의 유리 ("&amp;TEXT(B33,"#,##0")&amp;"원 절감)",IF(B33&lt;0,"단독명의 유리 ("&amp;TEXT(-B33,"#,##0")&amp;"원 절감)","동일"))</f>
        <v/>
      </c>
    </row>
    <row r="36" ht="30" customHeight="1">
      <c r="A36" s="4" t="inlineStr">
        <is>
          <t>⚠ 고령자·장기보유 세액공제는 1세대1주택자(단독명의)만 받을 수 있어 이 비교에는 반영하지 않았습니다. 두 공제까지 포함해 정밀 비교하려면 '종합부동산세_계산기.xlsx'로 단독명의·공동명의 조건을 각각 따로 계산해보세요.</t>
        </is>
      </c>
    </row>
  </sheetData>
  <mergeCells count="1">
    <mergeCell ref="A36:C36"/>
  </mergeCells>
  <dataValidations count="1">
    <dataValidation sqref="B15" showDropDown="0" showInputMessage="0" showErrorMessage="0" allowBlank="0" type="list">
      <formula1>"예,아니오"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2026-10-15T21:31:10Z</dcterms:created>
  <dcterms:modified xmlns:dcterms="http://purl.org/dc/terms/" xmlns:xsi="http://www.w3.org/2001/XMLSchema-instance" xsi:type="dcterms:W3CDTF">2026-10-15T21:31:10Z</dcterms:modified>
</cp:coreProperties>
</file>