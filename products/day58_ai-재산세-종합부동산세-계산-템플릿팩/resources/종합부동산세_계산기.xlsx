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62C3D"/>
      <sz val="14"/>
    </font>
    <font>
      <b val="1"/>
      <color rgb="00B87F1F"/>
      <sz val="11"/>
    </font>
    <font>
      <color rgb="00262C3D"/>
      <sz val="10.5"/>
    </font>
    <font>
      <color rgb="00565F72"/>
      <sz val="9.5"/>
    </font>
    <font>
      <b val="1"/>
      <color rgb="00262C3D"/>
      <sz val="11"/>
    </font>
    <font>
      <b val="1"/>
      <color rgb="00FFFFFF"/>
      <sz val="11"/>
    </font>
    <font>
      <color rgb="00262C3D"/>
      <sz val="11"/>
    </font>
    <font>
      <b val="1"/>
      <color rgb="00262C3D"/>
      <sz val="12"/>
    </font>
  </fonts>
  <fills count="5">
    <fill>
      <patternFill/>
    </fill>
    <fill>
      <patternFill patternType="gray125"/>
    </fill>
    <fill>
      <patternFill patternType="solid">
        <fgColor rgb="00B87F1F"/>
      </patternFill>
    </fill>
    <fill>
      <patternFill patternType="solid">
        <fgColor rgb="00FFF6D9"/>
      </patternFill>
    </fill>
    <fill>
      <patternFill patternType="solid">
        <f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2" borderId="0" pivotButton="0" quotePrefix="0" xfId="0"/>
    <xf numFmtId="3" fontId="7" fillId="0" borderId="0" pivotButton="0" quotePrefix="0" xfId="0"/>
    <xf numFmtId="10" fontId="7" fillId="0" borderId="0" pivotButton="0" quotePrefix="0" xfId="0"/>
    <xf numFmtId="0" fontId="7" fillId="0" borderId="0" pivotButton="0" quotePrefix="0" xfId="0"/>
    <xf numFmtId="3" fontId="7" fillId="3" borderId="0" pivotButton="0" quotePrefix="0" xfId="0"/>
    <xf numFmtId="0" fontId="7" fillId="3" borderId="0" pivotButton="0" quotePrefix="0" xfId="0"/>
    <xf numFmtId="3" fontId="5" fillId="4" borderId="0" pivotButton="0" quotePrefix="0" xfId="0"/>
    <xf numFmtId="0" fontId="5" fillId="4" borderId="0" pivotButton="0" quotePrefix="0" xfId="0"/>
    <xf numFmtId="10" fontId="5" fillId="4" borderId="0" pivotButton="0" quotePrefix="0" xfId="0"/>
    <xf numFmtId="9" fontId="5" fillId="4" borderId="0" pivotButton="0" quotePrefix="0" xfId="0"/>
    <xf numFmtId="3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종합부동산세 계산기</t>
        </is>
      </c>
    </row>
    <row r="4">
      <c r="B4" s="2" t="inlineStr">
        <is>
          <t>⚠ 사용 전 꼭 읽어주세요</t>
        </is>
      </c>
    </row>
    <row r="5">
      <c r="B5" s="3" t="inlineStr">
        <is>
          <t>본 계산기는 세대 전체 보유 주택의 공시가격 합계를 기준으로 종합부동산세 과세대상 여부를 판단하고,</t>
        </is>
      </c>
    </row>
    <row r="6">
      <c r="B6" s="3" t="inlineStr">
        <is>
          <t>공제금액·과세표준·세율·고령자·장기보유 세액공제와 재산세 이중과세 조정까지 반영해 최종 종부세 순액을</t>
        </is>
      </c>
    </row>
    <row r="7">
      <c r="B7" s="3" t="inlineStr">
        <is>
          <t>계산하는 참고용 도구입니다. (기준: 2026년 10월 확인)</t>
        </is>
      </c>
    </row>
    <row r="9">
      <c r="B9" s="2" t="inlineStr">
        <is>
          <t>사용법</t>
        </is>
      </c>
    </row>
    <row r="10">
      <c r="B10" s="3" t="inlineStr">
        <is>
          <t>① '계산기' 시트 상단의 보유주택수별 세율표(2주택 이하 / 3주택 이상·조정대상지역 다주택)를 확인합니다.</t>
        </is>
      </c>
    </row>
    <row r="11">
      <c r="B11" s="3" t="inlineStr">
        <is>
          <t>② 노란색 칸에 세대 전체 공시가격 합계, 1세대1주택 여부, 보유주택수 구분, 나이, 보유기간, 재산세 공제추정액을 입력합니다.</t>
        </is>
      </c>
    </row>
    <row r="12">
      <c r="B12" s="3" t="inlineStr">
        <is>
          <t>③ 올리브색 칸에서 공제금액 비교(과세대상 여부) → 과세표준 → 세율 적용 기본세액 → 고령자·장기보유 세액공제</t>
        </is>
      </c>
    </row>
    <row r="13">
      <c r="B13" s="3" t="inlineStr">
        <is>
          <t xml:space="preserve">   → 이중과세 조정(재산세 공제분 차감)까지 거쳐 최종 종부세 순액이 자동 계산됩니다.</t>
        </is>
      </c>
    </row>
    <row r="14">
      <c r="B14" s="3" t="inlineStr">
        <is>
          <t>④ '재산세 공제추정액'은 'ⓐ재산세_계산기.xlsx'에서 계산한 재산세 본세 중 종부세 과세표준에 해당하는 부분을 참고해 직접 입력합니다(정확한 자동 연동은 지원하지 않으며, 추정치입니다).</t>
        </is>
      </c>
    </row>
    <row r="16" ht="60" customHeight="1">
      <c r="B16" s="4" t="inlineStr">
        <is>
          <t>이 계산기는 확정 세액이 아니라 참고용 추정치입니다. 종부세 공제금액·공정시장가액비율·세율 구간은 세제개편으로 자주 조정이 논의되는 항목이므로, 실제 적용 시 국세청 홈택스(hometax.go.kr) 종합부동산세 모의계산이나 세무사 확인으로 반드시 재확인하세요. 고령자·장기보유 세액공제는 1세대1주택자에게만 적용되고, 부부 공동명의 등 세부 요건에 따라 적용 방식이 달라질 수 있습니다. 이 도구는 세무사 업무를 대신하지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  <col width="20" customWidth="1" min="3" max="3"/>
    <col width="24" customWidth="1" min="4" max="4"/>
    <col width="24" customWidth="1" min="5" max="5"/>
  </cols>
  <sheetData>
    <row r="1">
      <c r="A1" s="1" t="inlineStr">
        <is>
          <t>종합부동산세 계산기</t>
        </is>
      </c>
    </row>
    <row r="3">
      <c r="A3" s="5" t="inlineStr">
        <is>
          <t>① 종부세 세율표 (2주택 이하 / 3주택 이상·조정대상지역 다주택)</t>
        </is>
      </c>
    </row>
    <row r="4">
      <c r="A4" s="6" t="inlineStr">
        <is>
          <t>과세표준 구간 시작(원)</t>
        </is>
      </c>
      <c r="B4" s="6" t="inlineStr">
        <is>
          <t>2주택이하 세율</t>
        </is>
      </c>
      <c r="C4" s="6" t="inlineStr">
        <is>
          <t>2주택이하 누진공제액(원)</t>
        </is>
      </c>
      <c r="D4" s="6" t="inlineStr">
        <is>
          <t>3주택이상 세율</t>
        </is>
      </c>
      <c r="E4" s="6" t="inlineStr">
        <is>
          <t>3주택이상 누진공제액(원)</t>
        </is>
      </c>
    </row>
    <row r="5">
      <c r="A5" s="7" t="n">
        <v>0</v>
      </c>
      <c r="B5" s="8" t="n">
        <v>0.005</v>
      </c>
      <c r="C5" s="7" t="n">
        <v>0</v>
      </c>
      <c r="D5" s="8" t="n">
        <v>0.005</v>
      </c>
      <c r="E5" s="7" t="n">
        <v>0</v>
      </c>
    </row>
    <row r="6">
      <c r="A6" s="7" t="n">
        <v>300000000</v>
      </c>
      <c r="B6" s="8" t="n">
        <v>0.007</v>
      </c>
      <c r="C6" s="7" t="n">
        <v>600000</v>
      </c>
      <c r="D6" s="8" t="n">
        <v>0.007</v>
      </c>
      <c r="E6" s="7" t="n">
        <v>600000</v>
      </c>
    </row>
    <row r="7">
      <c r="A7" s="7" t="n">
        <v>600000000</v>
      </c>
      <c r="B7" s="8" t="n">
        <v>0.01</v>
      </c>
      <c r="C7" s="7" t="n">
        <v>2400000</v>
      </c>
      <c r="D7" s="8" t="n">
        <v>0.01</v>
      </c>
      <c r="E7" s="7" t="n">
        <v>2400000</v>
      </c>
    </row>
    <row r="8">
      <c r="A8" s="7" t="n">
        <v>1200000000</v>
      </c>
      <c r="B8" s="8" t="n">
        <v>0.013</v>
      </c>
      <c r="C8" s="7" t="n">
        <v>6000000</v>
      </c>
      <c r="D8" s="8" t="n">
        <v>0.02</v>
      </c>
      <c r="E8" s="7" t="n">
        <v>14400000</v>
      </c>
    </row>
    <row r="9">
      <c r="A9" s="7" t="n">
        <v>2500000000</v>
      </c>
      <c r="B9" s="8" t="n">
        <v>0.015</v>
      </c>
      <c r="C9" s="7" t="n">
        <v>11000000</v>
      </c>
      <c r="D9" s="8" t="n">
        <v>0.03</v>
      </c>
      <c r="E9" s="7" t="n">
        <v>39400000</v>
      </c>
    </row>
    <row r="10">
      <c r="A10" s="7" t="n">
        <v>5000000000</v>
      </c>
      <c r="B10" s="8" t="n">
        <v>0.02</v>
      </c>
      <c r="C10" s="7" t="n">
        <v>36000000</v>
      </c>
      <c r="D10" s="8" t="n">
        <v>0.04</v>
      </c>
      <c r="E10" s="7" t="n">
        <v>89400000</v>
      </c>
    </row>
    <row r="11">
      <c r="A11" s="7" t="n">
        <v>9400000000</v>
      </c>
      <c r="B11" s="8" t="n">
        <v>0.027</v>
      </c>
      <c r="C11" s="7" t="n">
        <v>101800000</v>
      </c>
      <c r="D11" s="8" t="n">
        <v>0.05</v>
      </c>
      <c r="E11" s="7" t="n">
        <v>183400000</v>
      </c>
    </row>
    <row r="13">
      <c r="A13" s="5" t="inlineStr">
        <is>
          <t>② 조건 입력</t>
        </is>
      </c>
    </row>
    <row r="14">
      <c r="A14" s="9" t="inlineStr">
        <is>
          <t>세대 전체 보유 주택 공시가격 합계 (원)</t>
        </is>
      </c>
      <c r="B14" s="10" t="n">
        <v>1500000000</v>
      </c>
    </row>
    <row r="15">
      <c r="A15" s="9" t="inlineStr">
        <is>
          <t>1세대1주택 여부 (예/아니오)</t>
        </is>
      </c>
      <c r="B15" s="11" t="inlineStr">
        <is>
          <t>예</t>
        </is>
      </c>
    </row>
    <row r="16">
      <c r="A16" s="9" t="inlineStr">
        <is>
          <t>보유주택수 구분 (2주택이하/3주택이상)</t>
        </is>
      </c>
      <c r="B16" s="11" t="inlineStr">
        <is>
          <t>2주택이하</t>
        </is>
      </c>
    </row>
    <row r="17">
      <c r="A17" s="9" t="inlineStr">
        <is>
          <t>연령 (세, 1세대1주택자만 해당. 미해당 시 0)</t>
        </is>
      </c>
      <c r="B17" s="10" t="n">
        <v>55</v>
      </c>
    </row>
    <row r="18">
      <c r="A18" s="9" t="inlineStr">
        <is>
          <t>보유기간 (년, 1세대1주택자만 해당. 미해당 시 0)</t>
        </is>
      </c>
      <c r="B18" s="10" t="n">
        <v>8</v>
      </c>
    </row>
    <row r="19">
      <c r="A19" s="9" t="inlineStr">
        <is>
          <t>재산세 공제추정액 (원, '재산세_계산기.xlsx' 참고해 직접 입력. 모르면 0)</t>
        </is>
      </c>
      <c r="B19" s="10" t="n">
        <v>0</v>
      </c>
    </row>
    <row r="21">
      <c r="A21" s="5" t="inlineStr">
        <is>
          <t>③ 과세대상 판단 · 과세표준 · 기본세액</t>
        </is>
      </c>
    </row>
    <row r="22">
      <c r="A22" s="9" t="inlineStr">
        <is>
          <t>적용 공제금액 (1세대1주택 12억원 / 다주택·일반 9억원, 원)</t>
        </is>
      </c>
      <c r="B22" s="12">
        <f>IF(B15="예",1200000000,900000000)</f>
        <v/>
      </c>
    </row>
    <row r="23">
      <c r="A23" s="9" t="inlineStr">
        <is>
          <t>과세대상 여부</t>
        </is>
      </c>
      <c r="B23" s="13">
        <f>IF(B14&gt;B22,"대상","비대상")</f>
        <v/>
      </c>
    </row>
    <row r="24">
      <c r="A24" s="9" t="inlineStr">
        <is>
          <t>종부세 과세표준 ((공시가격합계-공제금액)×공정시장가액비율 60%, 원)</t>
        </is>
      </c>
      <c r="B24" s="12">
        <f>MAX(B14-B22,0)*0.6</f>
        <v/>
      </c>
    </row>
    <row r="25">
      <c r="A25" s="9" t="inlineStr">
        <is>
          <t>적용 세율</t>
        </is>
      </c>
      <c r="B25" s="14">
        <f>IF(B16="2주택이하",VLOOKUP(B24,A5:C11,2,TRUE),VLOOKUP(B24,A5:E11,4,TRUE))</f>
        <v/>
      </c>
    </row>
    <row r="26">
      <c r="A26" s="9" t="inlineStr">
        <is>
          <t>적용 누진공제액 (원)</t>
        </is>
      </c>
      <c r="B26" s="12">
        <f>IF(B16="2주택이하",VLOOKUP(B24,A5:C11,3,TRUE),VLOOKUP(B24,A5:E11,5,TRUE))</f>
        <v/>
      </c>
    </row>
    <row r="27">
      <c r="A27" s="9" t="inlineStr">
        <is>
          <t>종부세 기본세액 (과세표준×적용세율-누진공제액, 원)</t>
        </is>
      </c>
      <c r="B27" s="12">
        <f>MAX(B24*B25-B26,0)</f>
        <v/>
      </c>
    </row>
    <row r="29">
      <c r="A29" s="5" t="inlineStr">
        <is>
          <t>④ 고령자·장기보유 세액공제 (1세대1주택자만 적용)</t>
        </is>
      </c>
    </row>
    <row r="30">
      <c r="A30" s="9" t="inlineStr">
        <is>
          <t>고령자 공제율 (60세 20%/65세 30%/70세 40%)</t>
        </is>
      </c>
      <c r="B30" s="15">
        <f>IF(B15="예",IF(B17&gt;=70,0.4,IF(B17&gt;=65,0.3,IF(B17&gt;=60,0.2,0))),0)</f>
        <v/>
      </c>
    </row>
    <row r="31">
      <c r="A31" s="9" t="inlineStr">
        <is>
          <t>장기보유 공제율 (5년 20%/10년 40%/15년 50%)</t>
        </is>
      </c>
      <c r="B31" s="15">
        <f>IF(B15="예",IF(B18&gt;=15,0.5,IF(B18&gt;=10,0.4,IF(B18&gt;=5,0.2,0))),0)</f>
        <v/>
      </c>
    </row>
    <row r="32">
      <c r="A32" s="9" t="inlineStr">
        <is>
          <t>합산 공제율 (상한 80%)</t>
        </is>
      </c>
      <c r="B32" s="15">
        <f>MIN(B30+B31,0.8)</f>
        <v/>
      </c>
    </row>
    <row r="33">
      <c r="A33" s="9" t="inlineStr">
        <is>
          <t>공제 적용 후 세액 (기본세액×(1-합산공제율), 원)</t>
        </is>
      </c>
      <c r="B33" s="12">
        <f>B27*(1-B32)</f>
        <v/>
      </c>
    </row>
    <row r="35">
      <c r="A35" s="5" t="inlineStr">
        <is>
          <t>⑤ 이중과세 조정 · 최종 종부세 순액</t>
        </is>
      </c>
    </row>
    <row r="36">
      <c r="A36" s="9" t="inlineStr">
        <is>
          <t>★ 최종 종부세 순액 (공제 적용 후 세액 - 재산세 공제추정액, 원)</t>
        </is>
      </c>
      <c r="B36" s="16">
        <f>MAX(B33-B19,0)</f>
        <v/>
      </c>
    </row>
    <row r="38" ht="30" customHeight="1">
      <c r="A38" s="4" t="inlineStr">
        <is>
          <t>⚠ 과세대상 여부가 '비대상'이면 이하 계산은 참고용으로만 보고, 실제로는 종부세를 납부하지 않습니다. 재산세는 7월·9월에 이미 납부가 끝난 상태이고, 종부세는 12월에 별도로 고지된다는 점을 의뢰인에게 함께 안내하세요.</t>
        </is>
      </c>
    </row>
  </sheetData>
  <mergeCells count="1">
    <mergeCell ref="A38:E38"/>
  </mergeCells>
  <dataValidations count="2">
    <dataValidation sqref="B15" showDropDown="0" showInputMessage="0" showErrorMessage="0" allowBlank="0" type="list">
      <formula1>"예,아니오"</formula1>
    </dataValidation>
    <dataValidation sqref="B16" showDropDown="0" showInputMessage="0" showErrorMessage="0" allowBlank="0" type="list">
      <formula1>"2주택이하,3주택이상"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2026-10-15T21:29:00Z</dcterms:created>
  <dcterms:modified xmlns:dcterms="http://purl.org/dc/terms/" xmlns:xsi="http://www.w3.org/2001/XMLSchema-instance" xsi:type="dcterms:W3CDTF">2026-10-15T21:29:00Z</dcterms:modified>
</cp:coreProperties>
</file>