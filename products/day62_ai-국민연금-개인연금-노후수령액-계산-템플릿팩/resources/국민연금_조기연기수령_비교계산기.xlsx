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color rgb="00262C3D"/>
      <sz val="10"/>
    </font>
    <font>
      <name val="맑은 고딕"/>
      <b val="1"/>
      <color rgb="00262C3D"/>
      <sz val="11"/>
    </font>
    <font>
      <name val="맑은 고딕"/>
      <color rgb="00565F72"/>
      <sz val="9.5"/>
    </font>
    <font>
      <name val="맑은 고딕"/>
      <b val="1"/>
      <color rgb="00262C3D"/>
      <sz val="10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국민연금 조기·정상·연기수령 비교 계산기</t>
        </is>
      </c>
    </row>
    <row r="4">
      <c r="B4" s="2" t="inlineStr">
        <is>
          <t>국민연금공단 '내 연금 알아보기'에서 조회한 정상 예상 월 수령액을 기준으로, 조기수령(최대 5년, 1년당 -6%)·연기수령(최대 5년, 1년당 +7.2%) 시 월 수령액이 어떻게 달라지는지, 그리고 선택지별로 몇 살까지 살아야 유리한지(손익분기 나이)를 자동으로 계산합니다.</t>
        </is>
      </c>
    </row>
    <row r="5">
      <c r="B5" s="2" t="inlineStr">
        <is>
          <t>이 계산기는 확정 수령액이 아니라 참고용 추정 계산 도구입니다. 조기·연기 가산율과 수급 개시 연령은 정책 개편으로 바뀔 수 있으므로, 실제 신청 전에는 반드시 국민연금공단(nps.or.kr) 고시로 재확인하세요.</t>
        </is>
      </c>
    </row>
    <row r="7">
      <c r="B7" s="3" t="inlineStr">
        <is>
          <t>사용법</t>
        </is>
      </c>
    </row>
    <row r="8">
      <c r="B8" s="2" t="inlineStr">
        <is>
          <t>1. 노란색 칸(출생연도·가입기간·정상 예상 월 수령액)에 값을 입력하세요.</t>
        </is>
      </c>
    </row>
    <row r="9">
      <c r="B9" s="2" t="inlineStr">
        <is>
          <t>2. '계산기' 시트에서 올리브색 칸에 조기·연기 시나리오별 월 수령액, 70·75·80·85세 누적 총액, 손익분기 나이가 자동으로 뜹니다.</t>
        </is>
      </c>
    </row>
    <row r="10">
      <c r="B10" s="2" t="inlineStr">
        <is>
          <t>3. 정상 예상 월 수령액은 반드시 국민연금공단 '내 연금 알아보기' 조회값을 쓰는 것이 가장 정확합니다.</t>
        </is>
      </c>
    </row>
    <row r="12">
      <c r="B12" s="4" t="inlineStr">
        <is>
          <t>주의 — 조기수령으로 줄어든 비율은 평생 고정되며 이후 정상 수급 연령이 되어도 복구되지 않습니다. 연기수령 기간 동안은 연금을 전혀 받지 못합니다. 이 두 가지는 상담 시 반드시 함께 안내하세요.</t>
        </is>
      </c>
    </row>
    <row r="13"/>
    <row r="14"/>
    <row r="15"/>
  </sheetData>
  <mergeCells count="1">
    <mergeCell ref="B12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7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" t="inlineStr">
        <is>
          <t>국민연금 조기·정상·연기수령 비교 계산기</t>
        </is>
      </c>
    </row>
    <row r="4">
      <c r="B4" s="3" t="inlineStr">
        <is>
          <t>A. 기준값 입력</t>
        </is>
      </c>
    </row>
    <row r="5">
      <c r="B5" s="5" t="inlineStr">
        <is>
          <t>출생연도</t>
        </is>
      </c>
      <c r="C5" s="6" t="n">
        <v>1970</v>
      </c>
    </row>
    <row r="6">
      <c r="B6" s="5" t="inlineStr">
        <is>
          <t>국민연금 가입기간(년)</t>
        </is>
      </c>
      <c r="C6" s="6" t="n">
        <v>25</v>
      </c>
    </row>
    <row r="7">
      <c r="B7" s="5" t="inlineStr">
        <is>
          <t>정상 수급 개시 연령(세) — 출생연도 기준 자동 계산</t>
        </is>
      </c>
      <c r="C7" s="7">
        <f>IF(C5&lt;=1956,61,IF(C5&lt;=1960,62,IF(C5&lt;=1964,63,IF(C5&lt;=1968,64,65))))</f>
        <v/>
      </c>
    </row>
    <row r="8">
      <c r="B8" s="5" t="inlineStr">
        <is>
          <t>조회 시점 예상 월 수령액(원) — 국민연금공단 조회값</t>
        </is>
      </c>
      <c r="C8" s="6" t="n">
        <v>950000</v>
      </c>
    </row>
    <row r="10">
      <c r="B10" s="3" t="inlineStr">
        <is>
          <t>B. 조기수령 1~5년 비교표 (1년당 -6%)</t>
        </is>
      </c>
    </row>
    <row r="11">
      <c r="B11" s="8" t="inlineStr">
        <is>
          <t>조기 수령 연수</t>
        </is>
      </c>
      <c r="C11" s="8" t="inlineStr">
        <is>
          <t>감액률</t>
        </is>
      </c>
      <c r="D11" s="8" t="inlineStr">
        <is>
          <t>수령 비율</t>
        </is>
      </c>
      <c r="E11" s="8" t="inlineStr">
        <is>
          <t>수령 시작 나이(세)</t>
        </is>
      </c>
      <c r="F11" s="8" t="inlineStr">
        <is>
          <t>조기수령 월액(원)</t>
        </is>
      </c>
      <c r="G11" s="8" t="inlineStr">
        <is>
          <t>조기수령 연액(원)</t>
        </is>
      </c>
    </row>
    <row r="12">
      <c r="B12" s="5" t="n">
        <v>1</v>
      </c>
      <c r="C12" s="9">
        <f>-B12*0.06</f>
        <v/>
      </c>
      <c r="D12" s="9">
        <f>1+C12</f>
        <v/>
      </c>
      <c r="E12" s="7">
        <f>C7-B12</f>
        <v/>
      </c>
      <c r="F12" s="10">
        <f>C8*D12</f>
        <v/>
      </c>
      <c r="G12" s="10">
        <f>F12*12</f>
        <v/>
      </c>
    </row>
    <row r="13">
      <c r="B13" s="5" t="n">
        <v>2</v>
      </c>
      <c r="C13" s="9">
        <f>-B13*0.06</f>
        <v/>
      </c>
      <c r="D13" s="9">
        <f>1+C13</f>
        <v/>
      </c>
      <c r="E13" s="7">
        <f>C7-B13</f>
        <v/>
      </c>
      <c r="F13" s="10">
        <f>C8*D13</f>
        <v/>
      </c>
      <c r="G13" s="10">
        <f>F13*12</f>
        <v/>
      </c>
    </row>
    <row r="14">
      <c r="B14" s="5" t="n">
        <v>3</v>
      </c>
      <c r="C14" s="9">
        <f>-B14*0.06</f>
        <v/>
      </c>
      <c r="D14" s="9">
        <f>1+C14</f>
        <v/>
      </c>
      <c r="E14" s="7">
        <f>C7-B14</f>
        <v/>
      </c>
      <c r="F14" s="10">
        <f>C8*D14</f>
        <v/>
      </c>
      <c r="G14" s="10">
        <f>F14*12</f>
        <v/>
      </c>
    </row>
    <row r="15">
      <c r="B15" s="5" t="n">
        <v>4</v>
      </c>
      <c r="C15" s="9">
        <f>-B15*0.06</f>
        <v/>
      </c>
      <c r="D15" s="9">
        <f>1+C15</f>
        <v/>
      </c>
      <c r="E15" s="7">
        <f>C7-B15</f>
        <v/>
      </c>
      <c r="F15" s="10">
        <f>C8*D15</f>
        <v/>
      </c>
      <c r="G15" s="10">
        <f>F15*12</f>
        <v/>
      </c>
    </row>
    <row r="16">
      <c r="B16" s="5" t="n">
        <v>5</v>
      </c>
      <c r="C16" s="9">
        <f>-B16*0.06</f>
        <v/>
      </c>
      <c r="D16" s="9">
        <f>1+C16</f>
        <v/>
      </c>
      <c r="E16" s="7">
        <f>C7-B16</f>
        <v/>
      </c>
      <c r="F16" s="10">
        <f>C8*D16</f>
        <v/>
      </c>
      <c r="G16" s="10">
        <f>F16*12</f>
        <v/>
      </c>
    </row>
    <row r="18">
      <c r="B18" s="3" t="inlineStr">
        <is>
          <t>C. 연기수령 1~5년 비교표 (1년당 +7.2%)</t>
        </is>
      </c>
    </row>
    <row r="19">
      <c r="B19" s="8" t="inlineStr">
        <is>
          <t>연기 수령 연수</t>
        </is>
      </c>
      <c r="C19" s="8" t="inlineStr">
        <is>
          <t>가산율</t>
        </is>
      </c>
      <c r="D19" s="8" t="inlineStr">
        <is>
          <t>수령 비율</t>
        </is>
      </c>
      <c r="E19" s="8" t="inlineStr">
        <is>
          <t>수령 시작 나이(세)</t>
        </is>
      </c>
      <c r="F19" s="8" t="inlineStr">
        <is>
          <t>연기수령 월액(원)</t>
        </is>
      </c>
      <c r="G19" s="8" t="inlineStr">
        <is>
          <t>연기수령 연액(원)</t>
        </is>
      </c>
    </row>
    <row r="20">
      <c r="B20" s="5" t="n">
        <v>1</v>
      </c>
      <c r="C20" s="9">
        <f>B20*0.072</f>
        <v/>
      </c>
      <c r="D20" s="9">
        <f>1+C20</f>
        <v/>
      </c>
      <c r="E20" s="7">
        <f>C7+B20</f>
        <v/>
      </c>
      <c r="F20" s="10">
        <f>C8*D20</f>
        <v/>
      </c>
      <c r="G20" s="10">
        <f>F20*12</f>
        <v/>
      </c>
    </row>
    <row r="21">
      <c r="B21" s="5" t="n">
        <v>2</v>
      </c>
      <c r="C21" s="9">
        <f>B21*0.072</f>
        <v/>
      </c>
      <c r="D21" s="9">
        <f>1+C21</f>
        <v/>
      </c>
      <c r="E21" s="7">
        <f>C7+B21</f>
        <v/>
      </c>
      <c r="F21" s="10">
        <f>C8*D21</f>
        <v/>
      </c>
      <c r="G21" s="10">
        <f>F21*12</f>
        <v/>
      </c>
    </row>
    <row r="22">
      <c r="B22" s="5" t="n">
        <v>3</v>
      </c>
      <c r="C22" s="9">
        <f>B22*0.072</f>
        <v/>
      </c>
      <c r="D22" s="9">
        <f>1+C22</f>
        <v/>
      </c>
      <c r="E22" s="7">
        <f>C7+B22</f>
        <v/>
      </c>
      <c r="F22" s="10">
        <f>C8*D22</f>
        <v/>
      </c>
      <c r="G22" s="10">
        <f>F22*12</f>
        <v/>
      </c>
    </row>
    <row r="23">
      <c r="B23" s="5" t="n">
        <v>4</v>
      </c>
      <c r="C23" s="9">
        <f>B23*0.072</f>
        <v/>
      </c>
      <c r="D23" s="9">
        <f>1+C23</f>
        <v/>
      </c>
      <c r="E23" s="7">
        <f>C7+B23</f>
        <v/>
      </c>
      <c r="F23" s="10">
        <f>C8*D23</f>
        <v/>
      </c>
      <c r="G23" s="10">
        <f>F23*12</f>
        <v/>
      </c>
    </row>
    <row r="24">
      <c r="B24" s="5" t="n">
        <v>5</v>
      </c>
      <c r="C24" s="9">
        <f>B24*0.072</f>
        <v/>
      </c>
      <c r="D24" s="9">
        <f>1+C24</f>
        <v/>
      </c>
      <c r="E24" s="7">
        <f>C7+B24</f>
        <v/>
      </c>
      <c r="F24" s="10">
        <f>C8*D24</f>
        <v/>
      </c>
      <c r="G24" s="10">
        <f>F24*12</f>
        <v/>
      </c>
    </row>
    <row r="26">
      <c r="B26" s="3" t="inlineStr">
        <is>
          <t>D. 선택지별 70·75·80·85세 시점 누적 수령 총액 비교</t>
        </is>
      </c>
    </row>
    <row r="27">
      <c r="B27" s="8" t="inlineStr">
        <is>
          <t>선택지</t>
        </is>
      </c>
      <c r="C27" s="8" t="inlineStr">
        <is>
          <t>월 수령액(원)</t>
        </is>
      </c>
      <c r="D27" s="8" t="inlineStr">
        <is>
          <t>수령 시작 나이(세)</t>
        </is>
      </c>
      <c r="E27" s="8" t="inlineStr">
        <is>
          <t>70세 누적</t>
        </is>
      </c>
      <c r="F27" s="8" t="inlineStr">
        <is>
          <t>75세 누적</t>
        </is>
      </c>
      <c r="G27" s="8" t="inlineStr">
        <is>
          <t>80세 누적</t>
        </is>
      </c>
      <c r="H27" s="8" t="inlineStr">
        <is>
          <t>85세 누적</t>
        </is>
      </c>
    </row>
    <row r="28">
      <c r="B28" s="11" t="inlineStr">
        <is>
          <t>조기수령(5년, 최대)</t>
        </is>
      </c>
      <c r="C28" s="10">
        <f>F16</f>
        <v/>
      </c>
      <c r="D28" s="7">
        <f>E16</f>
        <v/>
      </c>
      <c r="E28" s="10">
        <f>IF(70&gt;D28,C28*12*(70-D28),0)</f>
        <v/>
      </c>
      <c r="F28" s="10">
        <f>IF(75&gt;D28,C28*12*(75-D28),0)</f>
        <v/>
      </c>
      <c r="G28" s="10">
        <f>IF(80&gt;D28,C28*12*(80-D28),0)</f>
        <v/>
      </c>
      <c r="H28" s="10">
        <f>IF(85&gt;D28,C28*12*(85-D28),0)</f>
        <v/>
      </c>
    </row>
    <row r="29">
      <c r="B29" s="11" t="inlineStr">
        <is>
          <t>정상수령</t>
        </is>
      </c>
      <c r="C29" s="10">
        <f>C8</f>
        <v/>
      </c>
      <c r="D29" s="7">
        <f>C7</f>
        <v/>
      </c>
      <c r="E29" s="10">
        <f>IF(70&gt;D29,C29*12*(70-D29),0)</f>
        <v/>
      </c>
      <c r="F29" s="10">
        <f>IF(75&gt;D29,C29*12*(75-D29),0)</f>
        <v/>
      </c>
      <c r="G29" s="10">
        <f>IF(80&gt;D29,C29*12*(80-D29),0)</f>
        <v/>
      </c>
      <c r="H29" s="10">
        <f>IF(85&gt;D29,C29*12*(85-D29),0)</f>
        <v/>
      </c>
    </row>
    <row r="30">
      <c r="B30" s="11" t="inlineStr">
        <is>
          <t>연기수령(5년, 최대)</t>
        </is>
      </c>
      <c r="C30" s="10">
        <f>F24</f>
        <v/>
      </c>
      <c r="D30" s="7">
        <f>E24</f>
        <v/>
      </c>
      <c r="E30" s="10">
        <f>IF(70&gt;D30,C30*12*(70-D30),0)</f>
        <v/>
      </c>
      <c r="F30" s="10">
        <f>IF(75&gt;D30,C30*12*(75-D30),0)</f>
        <v/>
      </c>
      <c r="G30" s="10">
        <f>IF(80&gt;D30,C30*12*(80-D30),0)</f>
        <v/>
      </c>
      <c r="H30" s="10">
        <f>IF(85&gt;D30,C30*12*(85-D30),0)</f>
        <v/>
      </c>
    </row>
    <row r="32">
      <c r="B32" s="3" t="inlineStr">
        <is>
          <t>E. 손익분기 나이 비교표 (몇 살까지 살아야 유리한가)</t>
        </is>
      </c>
    </row>
    <row r="33">
      <c r="B33" s="8" t="inlineStr">
        <is>
          <t>비교 쌍</t>
        </is>
      </c>
      <c r="C33" s="8" t="inlineStr">
        <is>
          <t>A 월액(원)</t>
        </is>
      </c>
      <c r="D33" s="8" t="inlineStr">
        <is>
          <t>A 시작나이</t>
        </is>
      </c>
      <c r="E33" s="8" t="inlineStr">
        <is>
          <t>B 월액(원)</t>
        </is>
      </c>
      <c r="F33" s="8" t="inlineStr">
        <is>
          <t>B 시작나이</t>
        </is>
      </c>
      <c r="G33" s="8" t="inlineStr">
        <is>
          <t>손익분기 나이(세)</t>
        </is>
      </c>
    </row>
    <row r="34">
      <c r="B34" s="5" t="inlineStr">
        <is>
          <t>조기1년 vs 정상수령</t>
        </is>
      </c>
      <c r="C34" s="10">
        <f>F12</f>
        <v/>
      </c>
      <c r="D34" s="7">
        <f>E12</f>
        <v/>
      </c>
      <c r="E34" s="10">
        <f>C8</f>
        <v/>
      </c>
      <c r="F34" s="7">
        <f>C7</f>
        <v/>
      </c>
      <c r="G34" s="12">
        <f>(C34*D34-E34*F34)/(C34-E34)</f>
        <v/>
      </c>
    </row>
    <row r="35">
      <c r="B35" s="5" t="inlineStr">
        <is>
          <t>조기2년 vs 정상수령</t>
        </is>
      </c>
      <c r="C35" s="10">
        <f>F13</f>
        <v/>
      </c>
      <c r="D35" s="7">
        <f>E13</f>
        <v/>
      </c>
      <c r="E35" s="10">
        <f>C8</f>
        <v/>
      </c>
      <c r="F35" s="7">
        <f>C7</f>
        <v/>
      </c>
      <c r="G35" s="12">
        <f>(C35*D35-E35*F35)/(C35-E35)</f>
        <v/>
      </c>
    </row>
    <row r="36">
      <c r="B36" s="5" t="inlineStr">
        <is>
          <t>조기3년 vs 정상수령</t>
        </is>
      </c>
      <c r="C36" s="10">
        <f>F14</f>
        <v/>
      </c>
      <c r="D36" s="7">
        <f>E14</f>
        <v/>
      </c>
      <c r="E36" s="10">
        <f>C8</f>
        <v/>
      </c>
      <c r="F36" s="7">
        <f>C7</f>
        <v/>
      </c>
      <c r="G36" s="12">
        <f>(C36*D36-E36*F36)/(C36-E36)</f>
        <v/>
      </c>
    </row>
    <row r="37">
      <c r="B37" s="5" t="inlineStr">
        <is>
          <t>조기4년 vs 정상수령</t>
        </is>
      </c>
      <c r="C37" s="10">
        <f>F15</f>
        <v/>
      </c>
      <c r="D37" s="7">
        <f>E15</f>
        <v/>
      </c>
      <c r="E37" s="10">
        <f>C8</f>
        <v/>
      </c>
      <c r="F37" s="7">
        <f>C7</f>
        <v/>
      </c>
      <c r="G37" s="12">
        <f>(C37*D37-E37*F37)/(C37-E37)</f>
        <v/>
      </c>
    </row>
    <row r="38">
      <c r="B38" s="5" t="inlineStr">
        <is>
          <t>조기5년 vs 정상수령</t>
        </is>
      </c>
      <c r="C38" s="10">
        <f>F16</f>
        <v/>
      </c>
      <c r="D38" s="7">
        <f>E16</f>
        <v/>
      </c>
      <c r="E38" s="10">
        <f>C8</f>
        <v/>
      </c>
      <c r="F38" s="7">
        <f>C7</f>
        <v/>
      </c>
      <c r="G38" s="12">
        <f>(C38*D38-E38*F38)/(C38-E38)</f>
        <v/>
      </c>
    </row>
    <row r="39">
      <c r="B39" s="5" t="inlineStr">
        <is>
          <t>정상수령 vs 연기1년</t>
        </is>
      </c>
      <c r="C39" s="10">
        <f>C8</f>
        <v/>
      </c>
      <c r="D39" s="7">
        <f>C7</f>
        <v/>
      </c>
      <c r="E39" s="10">
        <f>F20</f>
        <v/>
      </c>
      <c r="F39" s="7">
        <f>E20</f>
        <v/>
      </c>
      <c r="G39" s="12">
        <f>(C39*D39-E39*F39)/(C39-E39)</f>
        <v/>
      </c>
    </row>
    <row r="40">
      <c r="B40" s="5" t="inlineStr">
        <is>
          <t>정상수령 vs 연기2년</t>
        </is>
      </c>
      <c r="C40" s="10">
        <f>C8</f>
        <v/>
      </c>
      <c r="D40" s="7">
        <f>C7</f>
        <v/>
      </c>
      <c r="E40" s="10">
        <f>F21</f>
        <v/>
      </c>
      <c r="F40" s="7">
        <f>E21</f>
        <v/>
      </c>
      <c r="G40" s="12">
        <f>(C40*D40-E40*F40)/(C40-E40)</f>
        <v/>
      </c>
    </row>
    <row r="41">
      <c r="B41" s="5" t="inlineStr">
        <is>
          <t>정상수령 vs 연기3년</t>
        </is>
      </c>
      <c r="C41" s="10">
        <f>C8</f>
        <v/>
      </c>
      <c r="D41" s="7">
        <f>C7</f>
        <v/>
      </c>
      <c r="E41" s="10">
        <f>F22</f>
        <v/>
      </c>
      <c r="F41" s="7">
        <f>E22</f>
        <v/>
      </c>
      <c r="G41" s="12">
        <f>(C41*D41-E41*F41)/(C41-E41)</f>
        <v/>
      </c>
    </row>
    <row r="42">
      <c r="B42" s="5" t="inlineStr">
        <is>
          <t>정상수령 vs 연기4년</t>
        </is>
      </c>
      <c r="C42" s="10">
        <f>C8</f>
        <v/>
      </c>
      <c r="D42" s="7">
        <f>C7</f>
        <v/>
      </c>
      <c r="E42" s="10">
        <f>F23</f>
        <v/>
      </c>
      <c r="F42" s="7">
        <f>E23</f>
        <v/>
      </c>
      <c r="G42" s="12">
        <f>(C42*D42-E42*F42)/(C42-E42)</f>
        <v/>
      </c>
    </row>
    <row r="43">
      <c r="B43" s="5" t="inlineStr">
        <is>
          <t>정상수령 vs 연기5년</t>
        </is>
      </c>
      <c r="C43" s="10">
        <f>C8</f>
        <v/>
      </c>
      <c r="D43" s="7">
        <f>C7</f>
        <v/>
      </c>
      <c r="E43" s="10">
        <f>F24</f>
        <v/>
      </c>
      <c r="F43" s="7">
        <f>E24</f>
        <v/>
      </c>
      <c r="G43" s="12">
        <f>(C43*D43-E43*F43)/(C43-E43)</f>
        <v/>
      </c>
    </row>
    <row r="45">
      <c r="B45" s="4" t="inlineStr">
        <is>
          <t>참고 — 손익분기 나이는 '그 나이까지 살아야 두 선택지의 누적 수령 총액이 같아진다'는 뜻입니다. 그 나이를 넘겨 더 오래 살수록 늦게 받는 쪽(정상 또는 연기)이 유리해집니다. 건강 상태·가족력·다른 소득원 유무에 따라 실제 유불리는 달라질 수 있으니, 이 표는 '무조건 어느 쪽이 유리하다'가 아니라 비교 참고용으로만 안내하세요.</t>
        </is>
      </c>
    </row>
    <row r="46"/>
    <row r="47"/>
  </sheetData>
  <mergeCells count="1">
    <mergeCell ref="B45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2026-10-19T21:11:29Z</dcterms:created>
  <dcterms:modified xmlns:dcterms="http://purl.org/dc/terms/" xmlns:xsi="http://www.w3.org/2001/XMLSchema-instance" xsi:type="dcterms:W3CDTF">2026-10-19T21:11:29Z</dcterms:modified>
</cp:coreProperties>
</file>