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수급연령계산기" sheetId="2" state="visible" r:id="rId2"/>
    <sheet xmlns:r="http://schemas.openxmlformats.org/officeDocument/2006/relationships" name="연금설계체크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맑은 고딕"/>
      <b val="1"/>
      <color rgb="00262C3D"/>
      <sz val="14"/>
    </font>
    <font>
      <name val="맑은 고딕"/>
      <color rgb="00262C3D"/>
      <sz val="10"/>
    </font>
    <font>
      <name val="맑은 고딕"/>
      <b val="1"/>
      <color rgb="00262C3D"/>
      <sz val="11"/>
    </font>
    <font>
      <name val="맑은 고딕"/>
      <color rgb="00565F72"/>
      <sz val="9.5"/>
    </font>
    <font>
      <name val="맑은 고딕"/>
      <b val="1"/>
      <color rgb="00262C3D"/>
      <sz val="10"/>
    </font>
    <font>
      <name val="맑은 고딕"/>
      <b val="1"/>
      <sz val="10"/>
    </font>
    <font>
      <name val="맑은 고딕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6D9"/>
      </patternFill>
    </fill>
    <fill>
      <patternFill patternType="solid">
        <fgColor rgb="00E3E6CE"/>
      </patternFill>
    </fill>
    <fill>
      <patternFill patternType="solid">
        <fgColor rgb="00B87F1F"/>
      </patternFill>
    </fill>
  </fills>
  <borders count="2">
    <border>
      <left/>
      <right/>
      <top/>
      <bottom/>
      <diagonal/>
    </border>
    <border>
      <left style="thin">
        <color rgb="00D9DACB"/>
      </left>
      <right style="thin">
        <color rgb="00D9DACB"/>
      </right>
      <top style="thin">
        <color rgb="00D9DACB"/>
      </top>
      <bottom style="thin">
        <color rgb="00D9DAC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center" wrapText="1"/>
    </xf>
    <xf numFmtId="164" fontId="2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3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연금설계 체크리스트</t>
        </is>
      </c>
    </row>
    <row r="4">
      <c r="B4" s="2" t="inlineStr">
        <is>
          <t>생년월일을 입력하면 정상 수급 개시 연령과 수급 개시일, D-day를 자동 계산하는 '수급연령계산기' 시트와, 국민연금·개인연금·합산설계 및 건강보험까지 총 12개 점검 항목을 준비 상태 드롭다운으로 정리한 '연금설계체크리스트' 시트로 구성됩니다.</t>
        </is>
      </c>
    </row>
    <row r="6">
      <c r="B6" s="3" t="inlineStr">
        <is>
          <t>사용법</t>
        </is>
      </c>
    </row>
    <row r="7">
      <c r="B7" s="2" t="inlineStr">
        <is>
          <t>1. '수급연령계산기' 시트의 노란색 칸에 생년월일을 입력하면 정상 수급 개시 연령과 D-day가 자동으로 뜹니다.</t>
        </is>
      </c>
    </row>
    <row r="8">
      <c r="B8" s="2" t="inlineStr">
        <is>
          <t>2. '연금설계체크리스트' 시트에서 각 항목의 준비 상태를 드롭다운으로 선택해 진행 상황을 관리하세요.</t>
        </is>
      </c>
    </row>
    <row r="10">
      <c r="B10" s="4" t="inlineStr">
        <is>
          <t>참고 — 수급 개시 연령은 출생연도 기준 기준값이며, 실제 적용 시 국민연금공단 고시로 재확인하세요.</t>
        </is>
      </c>
    </row>
    <row r="11"/>
    <row r="12"/>
    <row r="13"/>
  </sheetData>
  <mergeCells count="1">
    <mergeCell ref="B10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7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0" customWidth="1" min="3" max="3"/>
  </cols>
  <sheetData>
    <row r="2">
      <c r="B2" s="1" t="inlineStr">
        <is>
          <t>국민연금 수급 개시 연령 · D-day 계산기</t>
        </is>
      </c>
    </row>
    <row r="4">
      <c r="B4" s="3" t="inlineStr">
        <is>
          <t>입력</t>
        </is>
      </c>
    </row>
    <row r="5">
      <c r="B5" s="5" t="inlineStr">
        <is>
          <t>생년월일</t>
        </is>
      </c>
      <c r="C5" s="6" t="n">
        <v>25642</v>
      </c>
    </row>
    <row r="7">
      <c r="B7" s="3" t="inlineStr">
        <is>
          <t>자동 계산 결과</t>
        </is>
      </c>
    </row>
    <row r="8">
      <c r="B8" s="5" t="inlineStr">
        <is>
          <t>출생연도</t>
        </is>
      </c>
      <c r="C8" s="7">
        <f>YEAR(C5)</f>
        <v/>
      </c>
    </row>
    <row r="9">
      <c r="B9" s="5" t="inlineStr">
        <is>
          <t>정상 수급 개시 연령(세)</t>
        </is>
      </c>
      <c r="C9" s="7">
        <f>IF(C8&lt;=1956,61,IF(C8&lt;=1960,62,IF(C8&lt;=1964,63,IF(C8&lt;=1968,64,65))))</f>
        <v/>
      </c>
    </row>
    <row r="10">
      <c r="B10" s="5" t="inlineStr">
        <is>
          <t>정상 수급 개시일</t>
        </is>
      </c>
      <c r="C10" s="8">
        <f>DATE(C8+C9,MONTH(C5),DAY(C5))</f>
        <v/>
      </c>
    </row>
    <row r="11">
      <c r="B11" s="5" t="inlineStr">
        <is>
          <t>오늘 날짜</t>
        </is>
      </c>
      <c r="C11" s="8">
        <f>TODAY()</f>
        <v/>
      </c>
    </row>
    <row r="12">
      <c r="B12" s="5" t="inlineStr">
        <is>
          <t>D-day(수급 개시일까지 남은 일수)</t>
        </is>
      </c>
      <c r="C12" s="7">
        <f>C10-C11</f>
        <v/>
      </c>
    </row>
    <row r="13">
      <c r="B13" s="9" t="inlineStr">
        <is>
          <t>상태</t>
        </is>
      </c>
      <c r="C13" s="7">
        <f>IF(C12&lt;=0,"수급 가능 시기 도달",IF(C12&lt;=365,"1년 이내 — 준비 시작","여유 있음"))</f>
        <v/>
      </c>
    </row>
    <row r="15">
      <c r="B15" s="4" t="inlineStr">
        <is>
          <t>참고 — 조기수령을 원하면 정상 수급 개시 연령에서 최대 5년(가입기간 10년 이상 등 조건 충족 시) 앞당겨 신청할 수 있습니다. 조기수령 D-day는 '계산기 1(국민연금 조기·정상·연기수령 비교 계산기)'의 조기수령 시작 나이를 참고해 별도로 계산하세요.</t>
        </is>
      </c>
    </row>
    <row r="16"/>
    <row r="17"/>
  </sheetData>
  <mergeCells count="1">
    <mergeCell ref="B15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3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44" customWidth="1" min="3" max="3"/>
    <col width="16" customWidth="1" min="4" max="4"/>
  </cols>
  <sheetData>
    <row r="2">
      <c r="B2" s="1" t="inlineStr">
        <is>
          <t>연금설계 체크리스트</t>
        </is>
      </c>
    </row>
    <row r="4">
      <c r="B4" s="3" t="inlineStr">
        <is>
          <t>국민연금</t>
        </is>
      </c>
    </row>
    <row r="5">
      <c r="B5" s="10" t="inlineStr">
        <is>
          <t>번호</t>
        </is>
      </c>
      <c r="C5" s="10" t="inlineStr">
        <is>
          <t>점검 항목</t>
        </is>
      </c>
      <c r="D5" s="10" t="inlineStr">
        <is>
          <t>준비 상태</t>
        </is>
      </c>
    </row>
    <row r="6">
      <c r="B6" s="5" t="n">
        <v>1</v>
      </c>
      <c r="C6" s="5" t="inlineStr">
        <is>
          <t>국민연금공단 '내 연금 알아보기'에서 조회값 확보</t>
        </is>
      </c>
      <c r="D6" s="11" t="inlineStr">
        <is>
          <t>미확인</t>
        </is>
      </c>
    </row>
    <row r="7">
      <c r="B7" s="5" t="n">
        <v>2</v>
      </c>
      <c r="C7" s="5" t="inlineStr">
        <is>
          <t>출생연도 기준 정상 수급 개시 연령 확인</t>
        </is>
      </c>
      <c r="D7" s="11" t="inlineStr">
        <is>
          <t>미확인</t>
        </is>
      </c>
    </row>
    <row r="8">
      <c r="B8" s="5" t="n">
        <v>3</v>
      </c>
      <c r="C8" s="5" t="inlineStr">
        <is>
          <t>조기·연기수령 선호 시나리오 비교표 작성</t>
        </is>
      </c>
      <c r="D8" s="11" t="inlineStr">
        <is>
          <t>미확인</t>
        </is>
      </c>
    </row>
    <row r="9">
      <c r="B9" s="5" t="n">
        <v>4</v>
      </c>
      <c r="C9" s="5" t="inlineStr">
        <is>
          <t>손익분기 나이까지 함께 안내</t>
        </is>
      </c>
      <c r="D9" s="11" t="inlineStr">
        <is>
          <t>미확인</t>
        </is>
      </c>
    </row>
    <row r="11">
      <c r="B11" s="3" t="inlineStr">
        <is>
          <t>개인연금</t>
        </is>
      </c>
    </row>
    <row r="12">
      <c r="B12" s="10" t="inlineStr">
        <is>
          <t>번호</t>
        </is>
      </c>
      <c r="C12" s="10" t="inlineStr">
        <is>
          <t>점검 항목</t>
        </is>
      </c>
      <c r="D12" s="10" t="inlineStr">
        <is>
          <t>준비 상태</t>
        </is>
      </c>
    </row>
    <row r="13">
      <c r="B13" s="5" t="n">
        <v>1</v>
      </c>
      <c r="C13" s="5" t="inlineStr">
        <is>
          <t>연금저축·IRP 납입액 및 합산 한도(900만원) 확인</t>
        </is>
      </c>
      <c r="D13" s="11" t="inlineStr">
        <is>
          <t>미확인</t>
        </is>
      </c>
    </row>
    <row r="14">
      <c r="B14" s="5" t="n">
        <v>2</v>
      </c>
      <c r="C14" s="5" t="inlineStr">
        <is>
          <t>총급여 기준 공제율(16.5%/13.2%) 적용해 환급액 계산</t>
        </is>
      </c>
      <c r="D14" s="11" t="inlineStr">
        <is>
          <t>미확인</t>
        </is>
      </c>
    </row>
    <row r="15">
      <c r="B15" s="5" t="n">
        <v>3</v>
      </c>
      <c r="C15" s="5" t="inlineStr">
        <is>
          <t>가정 수익률 보수적·기준·낙관적 3개 시나리오 비교</t>
        </is>
      </c>
      <c r="D15" s="11" t="inlineStr">
        <is>
          <t>미확인</t>
        </is>
      </c>
    </row>
    <row r="16">
      <c r="B16" s="5" t="n">
        <v>4</v>
      </c>
      <c r="C16" s="5" t="inlineStr">
        <is>
          <t>연금소득세율 반영한 세후 월 실수령액 제시</t>
        </is>
      </c>
      <c r="D16" s="11" t="inlineStr">
        <is>
          <t>미확인</t>
        </is>
      </c>
    </row>
    <row r="18">
      <c r="B18" s="3" t="inlineStr">
        <is>
          <t>합산설계·건강보험</t>
        </is>
      </c>
    </row>
    <row r="19">
      <c r="B19" s="10" t="inlineStr">
        <is>
          <t>번호</t>
        </is>
      </c>
      <c r="C19" s="10" t="inlineStr">
        <is>
          <t>점검 항목</t>
        </is>
      </c>
      <c r="D19" s="10" t="inlineStr">
        <is>
          <t>준비 상태</t>
        </is>
      </c>
    </row>
    <row r="20">
      <c r="B20" s="5" t="n">
        <v>1</v>
      </c>
      <c r="C20" s="5" t="inlineStr">
        <is>
          <t>국민연금·개인연금 수령 시작 나이 비교해 소득 크레바스 구간 확인</t>
        </is>
      </c>
      <c r="D20" s="11" t="inlineStr">
        <is>
          <t>미확인</t>
        </is>
      </c>
    </row>
    <row r="21">
      <c r="B21" s="5" t="n">
        <v>2</v>
      </c>
      <c r="C21" s="5" t="inlineStr">
        <is>
          <t>희망 생활비 대비 부족분·여유분 진단</t>
        </is>
      </c>
      <c r="D21" s="11" t="inlineStr">
        <is>
          <t>미확인</t>
        </is>
      </c>
    </row>
    <row r="22">
      <c r="B22" s="5" t="n">
        <v>3</v>
      </c>
      <c r="C22" s="5" t="inlineStr">
        <is>
          <t>건강보험 피부양자 자격 유지 가능성 점검</t>
        </is>
      </c>
      <c r="D22" s="11" t="inlineStr">
        <is>
          <t>미확인</t>
        </is>
      </c>
    </row>
    <row r="23">
      <c r="B23" s="5" t="n">
        <v>4</v>
      </c>
      <c r="C23" s="5" t="inlineStr">
        <is>
          <t>참고용 추정치 안내 문구 포함한 고객용 리포트 전달</t>
        </is>
      </c>
      <c r="D23" s="11" t="inlineStr">
        <is>
          <t>미확인</t>
        </is>
      </c>
    </row>
  </sheetData>
  <dataValidations count="1">
    <dataValidation sqref="D6 D7 D8 D9 D13 D14 D15 D16 D20 D21 D22 D23" showDropDown="0" showInputMessage="0" showErrorMessage="0" allowBlank="1" type="list">
      <formula1>"미확인,확인중,완료"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2026-10-19T21:11:29Z</dcterms:created>
  <dcterms:modified xmlns:dcterms="http://purl.org/dc/terms/" xmlns:xsi="http://www.w3.org/2001/XMLSchema-instance" xsi:type="dcterms:W3CDTF">2026-10-19T21:11:29Z</dcterms:modified>
</cp:coreProperties>
</file>