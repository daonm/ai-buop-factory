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262C3D"/>
      <sz val="14"/>
    </font>
    <font>
      <name val="맑은 고딕"/>
      <color rgb="00262C3D"/>
      <sz val="10"/>
    </font>
    <font>
      <name val="맑은 고딕"/>
      <b val="1"/>
      <color rgb="00262C3D"/>
      <sz val="11"/>
    </font>
    <font>
      <name val="맑은 고딕"/>
      <color rgb="00565F72"/>
      <sz val="9.5"/>
    </font>
    <font>
      <name val="맑은 고딕"/>
      <b val="1"/>
      <color rgb="00262C3D"/>
      <sz val="10"/>
    </font>
    <font>
      <name val="맑은 고딕"/>
      <b val="1"/>
      <color rgb="00FFFFFF"/>
      <sz val="10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E3E6CE"/>
      </patternFill>
    </fill>
    <fill>
      <patternFill patternType="solid">
        <fgColor rgb="00B87F1F"/>
      </patternFill>
    </fill>
  </fills>
  <borders count="6">
    <border>
      <left/>
      <right/>
      <top/>
      <bottom/>
      <diagonal/>
    </border>
    <border>
      <left style="thin">
        <color rgb="00D9DACB"/>
      </left>
      <right style="thin">
        <color rgb="00D9DACB"/>
      </right>
      <top style="thin">
        <color rgb="00D9DACB"/>
      </top>
      <bottom style="thin">
        <color rgb="00D9DACB"/>
      </bottom>
    </border>
    <border>
      <left/>
      <right/>
      <top style="thin">
        <color rgb="00D9DACB"/>
      </top>
      <bottom/>
      <diagonal/>
    </border>
    <border>
      <left/>
      <right style="thin">
        <color rgb="00D9DACB"/>
      </right>
      <top style="thin">
        <color rgb="00D9DACB"/>
      </top>
      <bottom/>
      <diagonal/>
    </border>
    <border>
      <left/>
      <right/>
      <top style="thin">
        <color rgb="00D9DACB"/>
      </top>
      <bottom style="thin">
        <color rgb="00D9DACB"/>
      </bottom>
      <diagonal/>
    </border>
    <border>
      <left/>
      <right style="thin">
        <color rgb="00D9DACB"/>
      </right>
      <top style="thin">
        <color rgb="00D9DACB"/>
      </top>
      <bottom style="thin">
        <color rgb="00D9DAC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국민연금+개인연금 노후소득 합산진단 계산기</t>
        </is>
      </c>
    </row>
    <row r="4">
      <c r="B4" s="2" t="inlineStr">
        <is>
          <t>국민연금 월 수령액(계산기 1에서 구한 시나리오별 금액)과 개인연금 월 수령액(계산기 2에서 구한 세후 금액)을 합쳐 연령 구간별 전체 노후 월소득을 계산하고, 희망 생활비와 비교해 부족분을 진단합니다. 건강보험 피부양자 자격 유지 가능성까지 함께 점검합니다.</t>
        </is>
      </c>
    </row>
    <row r="5">
      <c r="B5" s="2" t="inlineStr">
        <is>
          <t>이 계산기는 확정 소득이나 피부양자 판정 결과를 보장하지 않는 참고용 추정 계산 도구입니다. 피부양자 탈락 기준은 복잡하고 자주 개편되므로, 실제 판단은 건강보험공단(1577-1000) 확인을 권장하세요.</t>
        </is>
      </c>
    </row>
    <row r="7">
      <c r="B7" s="3" t="inlineStr">
        <is>
          <t>사용법</t>
        </is>
      </c>
    </row>
    <row r="8">
      <c r="B8" s="2" t="inlineStr">
        <is>
          <t>1. 노란색 칸(국민연금·개인연금 월 수령액과 각각의 수령 시작 나이, 희망 생활비)에 값을 입력하세요.</t>
        </is>
      </c>
    </row>
    <row r="9">
      <c r="B9" s="2" t="inlineStr">
        <is>
          <t>2. 올리브색 칸에 연령 구간별(60·65·70·75·80·85세) 합산 월소득과 생활비 대비 부족분·여유분이 자동으로 뜹니다.</t>
        </is>
      </c>
    </row>
    <row r="10">
      <c r="B10" s="2" t="inlineStr">
        <is>
          <t>3. '소득 크레바스'(국민연금 수령 전까지의 소득 공백 구간)가 있는지 꼭 확인하세요.</t>
        </is>
      </c>
    </row>
    <row r="12">
      <c r="B12" s="4" t="inlineStr">
        <is>
          <t>주의 — 국민연금과 개인연금의 수령 시작 나이가 다르면 한쪽만 먼저 들어오는 소득 공백(크레바스) 구간이 생길 수 있습니다. 이 구간은 상담에서 가장 자주 놓치는 부분이니 반드시 표에서 눈에 띄게 짚어주세요.</t>
        </is>
      </c>
    </row>
    <row r="13"/>
    <row r="14"/>
    <row r="15"/>
  </sheetData>
  <mergeCells count="1">
    <mergeCell ref="B12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4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국민연금+개인연금 노후소득 합산진단 계산기</t>
        </is>
      </c>
    </row>
    <row r="4">
      <c r="B4" s="3" t="inlineStr">
        <is>
          <t>A. 입력</t>
        </is>
      </c>
    </row>
    <row r="5">
      <c r="B5" s="5" t="inlineStr">
        <is>
          <t>국민연금 선택 시나리오 월 수령액(원)</t>
        </is>
      </c>
      <c r="C5" s="6" t="n">
        <v>950000</v>
      </c>
    </row>
    <row r="6">
      <c r="B6" s="5" t="inlineStr">
        <is>
          <t>국민연금 수령 시작 나이(세)</t>
        </is>
      </c>
      <c r="C6" s="6" t="n">
        <v>65</v>
      </c>
    </row>
    <row r="7">
      <c r="B7" s="5" t="inlineStr">
        <is>
          <t>개인연금 월 수령액(세후, 원)</t>
        </is>
      </c>
      <c r="C7" s="6" t="n">
        <v>900000</v>
      </c>
    </row>
    <row r="8">
      <c r="B8" s="5" t="inlineStr">
        <is>
          <t>개인연금 수령 시작 나이(세)</t>
        </is>
      </c>
      <c r="C8" s="6" t="n">
        <v>60</v>
      </c>
    </row>
    <row r="9">
      <c r="B9" s="5" t="inlineStr">
        <is>
          <t>은퇴 전 월소득(참고용, 원)</t>
        </is>
      </c>
      <c r="C9" s="6" t="n">
        <v>4500000</v>
      </c>
    </row>
    <row r="10">
      <c r="B10" s="5" t="inlineStr">
        <is>
          <t>희망 은퇴 후 월 생활비(원)</t>
        </is>
      </c>
      <c r="C10" s="6" t="n">
        <v>2800000</v>
      </c>
    </row>
    <row r="11">
      <c r="B11" s="5" t="inlineStr">
        <is>
          <t>참고 — 적정 생활비 범위(은퇴 전 소득의 60~70%)</t>
        </is>
      </c>
      <c r="C11" s="7">
        <f>C9*0.6</f>
        <v/>
      </c>
      <c r="D11" s="5" t="inlineStr">
        <is>
          <t>~</t>
        </is>
      </c>
      <c r="E11" s="7">
        <f>C9*0.7</f>
        <v/>
      </c>
    </row>
    <row r="13">
      <c r="B13" s="3" t="inlineStr">
        <is>
          <t>B. 연령 구간별 합산 월소득 진단표</t>
        </is>
      </c>
    </row>
    <row r="14">
      <c r="B14" s="8" t="inlineStr">
        <is>
          <t>나이(세)</t>
        </is>
      </c>
      <c r="C14" s="8" t="inlineStr">
        <is>
          <t>국민연금 수령여부</t>
        </is>
      </c>
      <c r="D14" s="8" t="inlineStr">
        <is>
          <t>국민연금 월액</t>
        </is>
      </c>
      <c r="E14" s="8" t="inlineStr">
        <is>
          <t>개인연금 수령여부</t>
        </is>
      </c>
      <c r="F14" s="8" t="inlineStr">
        <is>
          <t>개인연금 월액</t>
        </is>
      </c>
      <c r="G14" s="8" t="inlineStr">
        <is>
          <t>합산 월소득</t>
        </is>
      </c>
      <c r="H14" s="8" t="inlineStr">
        <is>
          <t>생활비 대비(부족/여유)</t>
        </is>
      </c>
      <c r="I14" s="8" t="inlineStr">
        <is>
          <t>상태</t>
        </is>
      </c>
    </row>
    <row r="15">
      <c r="B15" s="5" t="n">
        <v>60</v>
      </c>
      <c r="C15" s="9">
        <f>IF(B15&gt;=$C$6,"수령","미수령")</f>
        <v/>
      </c>
      <c r="D15" s="7">
        <f>IF(B15&gt;=$C$6,$C$5,0)</f>
        <v/>
      </c>
      <c r="E15" s="9">
        <f>IF(B15&gt;=$C$8,"수령","미수령")</f>
        <v/>
      </c>
      <c r="F15" s="7">
        <f>IF(B15&gt;=$C$8,$C$7,0)</f>
        <v/>
      </c>
      <c r="G15" s="7">
        <f>D15+F15</f>
        <v/>
      </c>
      <c r="H15" s="7">
        <f>G15-$C$10</f>
        <v/>
      </c>
      <c r="I15" s="9">
        <f>IF(H15&lt;0,"부족 — 추가 적립 필요",IF(H15=0,"정확히 충족","여유"))</f>
        <v/>
      </c>
    </row>
    <row r="16">
      <c r="B16" s="5" t="n">
        <v>65</v>
      </c>
      <c r="C16" s="9">
        <f>IF(B16&gt;=$C$6,"수령","미수령")</f>
        <v/>
      </c>
      <c r="D16" s="7">
        <f>IF(B16&gt;=$C$6,$C$5,0)</f>
        <v/>
      </c>
      <c r="E16" s="9">
        <f>IF(B16&gt;=$C$8,"수령","미수령")</f>
        <v/>
      </c>
      <c r="F16" s="7">
        <f>IF(B16&gt;=$C$8,$C$7,0)</f>
        <v/>
      </c>
      <c r="G16" s="7">
        <f>D16+F16</f>
        <v/>
      </c>
      <c r="H16" s="7">
        <f>G16-$C$10</f>
        <v/>
      </c>
      <c r="I16" s="9">
        <f>IF(H16&lt;0,"부족 — 추가 적립 필요",IF(H16=0,"정확히 충족","여유"))</f>
        <v/>
      </c>
    </row>
    <row r="17">
      <c r="B17" s="5" t="n">
        <v>70</v>
      </c>
      <c r="C17" s="9">
        <f>IF(B17&gt;=$C$6,"수령","미수령")</f>
        <v/>
      </c>
      <c r="D17" s="7">
        <f>IF(B17&gt;=$C$6,$C$5,0)</f>
        <v/>
      </c>
      <c r="E17" s="9">
        <f>IF(B17&gt;=$C$8,"수령","미수령")</f>
        <v/>
      </c>
      <c r="F17" s="7">
        <f>IF(B17&gt;=$C$8,$C$7,0)</f>
        <v/>
      </c>
      <c r="G17" s="7">
        <f>D17+F17</f>
        <v/>
      </c>
      <c r="H17" s="7">
        <f>G17-$C$10</f>
        <v/>
      </c>
      <c r="I17" s="9">
        <f>IF(H17&lt;0,"부족 — 추가 적립 필요",IF(H17=0,"정확히 충족","여유"))</f>
        <v/>
      </c>
    </row>
    <row r="18">
      <c r="B18" s="5" t="n">
        <v>75</v>
      </c>
      <c r="C18" s="9">
        <f>IF(B18&gt;=$C$6,"수령","미수령")</f>
        <v/>
      </c>
      <c r="D18" s="7">
        <f>IF(B18&gt;=$C$6,$C$5,0)</f>
        <v/>
      </c>
      <c r="E18" s="9">
        <f>IF(B18&gt;=$C$8,"수령","미수령")</f>
        <v/>
      </c>
      <c r="F18" s="7">
        <f>IF(B18&gt;=$C$8,$C$7,0)</f>
        <v/>
      </c>
      <c r="G18" s="7">
        <f>D18+F18</f>
        <v/>
      </c>
      <c r="H18" s="7">
        <f>G18-$C$10</f>
        <v/>
      </c>
      <c r="I18" s="9">
        <f>IF(H18&lt;0,"부족 — 추가 적립 필요",IF(H18=0,"정확히 충족","여유"))</f>
        <v/>
      </c>
    </row>
    <row r="19">
      <c r="B19" s="5" t="n">
        <v>80</v>
      </c>
      <c r="C19" s="9">
        <f>IF(B19&gt;=$C$6,"수령","미수령")</f>
        <v/>
      </c>
      <c r="D19" s="7">
        <f>IF(B19&gt;=$C$6,$C$5,0)</f>
        <v/>
      </c>
      <c r="E19" s="9">
        <f>IF(B19&gt;=$C$8,"수령","미수령")</f>
        <v/>
      </c>
      <c r="F19" s="7">
        <f>IF(B19&gt;=$C$8,$C$7,0)</f>
        <v/>
      </c>
      <c r="G19" s="7">
        <f>D19+F19</f>
        <v/>
      </c>
      <c r="H19" s="7">
        <f>G19-$C$10</f>
        <v/>
      </c>
      <c r="I19" s="9">
        <f>IF(H19&lt;0,"부족 — 추가 적립 필요",IF(H19=0,"정확히 충족","여유"))</f>
        <v/>
      </c>
    </row>
    <row r="20">
      <c r="B20" s="5" t="n">
        <v>85</v>
      </c>
      <c r="C20" s="9">
        <f>IF(B20&gt;=$C$6,"수령","미수령")</f>
        <v/>
      </c>
      <c r="D20" s="7">
        <f>IF(B20&gt;=$C$6,$C$5,0)</f>
        <v/>
      </c>
      <c r="E20" s="9">
        <f>IF(B20&gt;=$C$8,"수령","미수령")</f>
        <v/>
      </c>
      <c r="F20" s="7">
        <f>IF(B20&gt;=$C$8,$C$7,0)</f>
        <v/>
      </c>
      <c r="G20" s="7">
        <f>D20+F20</f>
        <v/>
      </c>
      <c r="H20" s="7">
        <f>G20-$C$10</f>
        <v/>
      </c>
      <c r="I20" s="9">
        <f>IF(H20&lt;0,"부족 — 추가 적립 필요",IF(H20=0,"정확히 충족","여유"))</f>
        <v/>
      </c>
    </row>
    <row r="22">
      <c r="B22" s="4" t="inlineStr">
        <is>
          <t>주의 — '국민연금 미수령' 행이면서 '개인연금 미수령'도 함께 표시되는 구간이 있다면, 그 구간은 은퇴 후 연금소득이 전혀 없는 '소득 크레바스'입니다. 이 구간은 다른 소득(퇴직금 등)으로 메워야 한다는 점을 상담에서 반드시 눈에 띄게 안내하세요.</t>
        </is>
      </c>
    </row>
    <row r="23"/>
    <row r="24"/>
    <row r="26">
      <c r="B26" s="3" t="inlineStr">
        <is>
          <t>C. 건강보험 피부양자 자격 점검</t>
        </is>
      </c>
    </row>
    <row r="27">
      <c r="B27" s="5" t="inlineStr">
        <is>
          <t>국민연금+개인연금 모두 수령 중인 연간 합산소득(원)</t>
        </is>
      </c>
      <c r="C27" s="7">
        <f>G20*12</f>
        <v/>
      </c>
    </row>
    <row r="28">
      <c r="B28" s="5" t="inlineStr">
        <is>
          <t>피부양자 유지 기준(참고, 연 2천만원)</t>
        </is>
      </c>
      <c r="C28" s="6" t="n">
        <v>20000000</v>
      </c>
    </row>
    <row r="29">
      <c r="B29" s="5" t="inlineStr">
        <is>
          <t>기준 대비</t>
        </is>
      </c>
      <c r="C29" s="7">
        <f>C27-C28</f>
        <v/>
      </c>
    </row>
    <row r="30">
      <c r="B30" s="10" t="inlineStr">
        <is>
          <t>전환 가능성</t>
        </is>
      </c>
      <c r="C30" s="9">
        <f>IF(C27&gt;C28,"지역가입자 전환 가능성 있음 — 재확인 필요","피부양자 유지 가능성 높음")</f>
        <v/>
      </c>
      <c r="D30" s="11" t="n"/>
      <c r="E30" s="11" t="n"/>
      <c r="F30" s="12" t="n"/>
    </row>
    <row r="32">
      <c r="B32" s="4" t="inlineStr">
        <is>
          <t>주의 — 피부양자 탈락 기준과 지역가입자 산정 방식은 복잡하고 자주 개편되는 영역입니다. '탈락 가능성이 있다'까지만 안내하고, 정확한 판단은 건강보험공단(1577-1000) 확인을 권장하세요.</t>
        </is>
      </c>
    </row>
    <row r="33"/>
    <row r="34"/>
  </sheetData>
  <mergeCells count="3">
    <mergeCell ref="B22:I24"/>
    <mergeCell ref="C30:F30"/>
    <mergeCell ref="B32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2026-10-19T21:11:29Z</dcterms:created>
  <dcterms:modified xmlns:dcterms="http://purl.org/dc/terms/" xmlns:xsi="http://www.w3.org/2001/XMLSchema-instance" xsi:type="dcterms:W3CDTF">2026-10-19T21:11:29Z</dcterms:modified>
</cp:coreProperties>
</file>