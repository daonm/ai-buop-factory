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계산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맑은 고딕"/>
      <b val="1"/>
      <color rgb="00262C3D"/>
      <sz val="14"/>
    </font>
    <font>
      <name val="맑은 고딕"/>
      <color rgb="00262C3D"/>
      <sz val="10"/>
    </font>
    <font>
      <name val="맑은 고딕"/>
      <b val="1"/>
      <color rgb="00262C3D"/>
      <sz val="11"/>
    </font>
    <font>
      <name val="맑은 고딕"/>
      <color rgb="00565F72"/>
      <sz val="9.5"/>
    </font>
    <font>
      <name val="맑은 고딕"/>
      <b val="1"/>
      <color rgb="00262C3D"/>
      <sz val="10"/>
    </font>
    <font>
      <name val="맑은 고딕"/>
      <b val="1"/>
      <sz val="10"/>
    </font>
    <font>
      <name val="맑은 고딕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6D9"/>
      </patternFill>
    </fill>
    <fill>
      <patternFill patternType="solid">
        <fgColor rgb="00E3E6CE"/>
      </patternFill>
    </fill>
    <fill>
      <patternFill patternType="solid">
        <fgColor rgb="00B87F1F"/>
      </patternFill>
    </fill>
  </fills>
  <borders count="2">
    <border>
      <left/>
      <right/>
      <top/>
      <bottom/>
      <diagonal/>
    </border>
    <border>
      <left style="thin">
        <color rgb="00D9DACB"/>
      </left>
      <right style="thin">
        <color rgb="00D9DACB"/>
      </right>
      <top style="thin">
        <color rgb="00D9DACB"/>
      </top>
      <bottom style="thin">
        <color rgb="00D9DAC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3" fontId="5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164" fontId="2" fillId="2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10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5"/>
  <sheetViews>
    <sheetView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2">
      <c r="B2" s="1" t="inlineStr">
        <is>
          <t>개인연금(연금저축·IRP) 세액공제·수령액 계산기</t>
        </is>
      </c>
    </row>
    <row r="4">
      <c r="B4" s="2" t="inlineStr">
        <is>
          <t>연금저축·IRP 납입액과 총급여(또는 종합소득금액)를 입력하면 합산 900만 원 한도 안에서 올해 세액공제 환급액을 자동 계산하고, 가정 수익률과 수령 나이를 입력하면 연금소득세를 반영한 노후 월 실수령액까지 추정합니다.</t>
        </is>
      </c>
    </row>
    <row r="5">
      <c r="B5" s="2" t="inlineStr">
        <is>
          <t>이 계산기는 확정 환급액·수령액이 아니라 참고용 추정 계산 도구입니다. 세액공제 한도·공제율·연금소득세율은 세법 개정으로 바뀔 수 있으므로, 실제 적용 전 국세청 고시로 재확인하세요.</t>
        </is>
      </c>
    </row>
    <row r="7">
      <c r="B7" s="3" t="inlineStr">
        <is>
          <t>사용법</t>
        </is>
      </c>
    </row>
    <row r="8">
      <c r="B8" s="2" t="inlineStr">
        <is>
          <t>1. 노란색 칸(연금저축·IRP 납입액, 총급여, 가정 수익률, 수령 예정 나이 등)에 값을 입력하세요.</t>
        </is>
      </c>
    </row>
    <row r="9">
      <c r="B9" s="2" t="inlineStr">
        <is>
          <t>2. 올리브색 칸에 올해 세액공제 환급액과 노후 월 실수령액(세후)이 자동으로 뜹니다.</t>
        </is>
      </c>
    </row>
    <row r="10">
      <c r="B10" s="2" t="inlineStr">
        <is>
          <t>3. 수익률 시나리오 3종(보수적·기준·낙관적)을 함께 비교해 과장되지 않은 추정치를 확인하세요.</t>
        </is>
      </c>
    </row>
    <row r="12">
      <c r="B12" s="4" t="inlineStr">
        <is>
          <t>주의 — 연금저축은 중도 인출이 가능하지만 IRP는 법정 사유 외에는 전액 해지만 가능하고, 중도 해지 시 그동안 받은 세액공제 혜택을 돌려줘야 할 수 있습니다. 상담 시 이 제약을 반드시 함께 안내하세요.</t>
        </is>
      </c>
    </row>
    <row r="13"/>
    <row r="14"/>
    <row r="15"/>
  </sheetData>
  <mergeCells count="1">
    <mergeCell ref="B12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27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2">
      <c r="B2" s="1" t="inlineStr">
        <is>
          <t>개인연금(연금저축·IRP) 세액공제·수령액 계산기</t>
        </is>
      </c>
    </row>
    <row r="4">
      <c r="B4" s="3" t="inlineStr">
        <is>
          <t>A. 올해 세액공제 환급액</t>
        </is>
      </c>
    </row>
    <row r="5">
      <c r="B5" s="5" t="inlineStr">
        <is>
          <t>연금저축 연 납입액(원)</t>
        </is>
      </c>
      <c r="C5" s="6" t="n">
        <v>4000000</v>
      </c>
    </row>
    <row r="6">
      <c r="B6" s="5" t="inlineStr">
        <is>
          <t>IRP 연 납입액(원)</t>
        </is>
      </c>
      <c r="C6" s="6" t="n">
        <v>3000000</v>
      </c>
    </row>
    <row r="7">
      <c r="B7" s="5" t="inlineStr">
        <is>
          <t>총급여(또는 종합소득금액, 원)</t>
        </is>
      </c>
      <c r="C7" s="6" t="n">
        <v>48000000</v>
      </c>
    </row>
    <row r="8">
      <c r="B8" s="5" t="inlineStr">
        <is>
          <t>연금저축 공제 인정액(단독 한도 600만원)</t>
        </is>
      </c>
      <c r="C8" s="7">
        <f>MIN(C5,6000000)</f>
        <v/>
      </c>
    </row>
    <row r="9">
      <c r="B9" s="5" t="inlineStr">
        <is>
          <t>합산 납입액(연금저축+IRP)</t>
        </is>
      </c>
      <c r="C9" s="7">
        <f>C5+C6</f>
        <v/>
      </c>
    </row>
    <row r="10">
      <c r="B10" s="5" t="inlineStr">
        <is>
          <t>합산 공제 인정액(합산 한도 900만원)</t>
        </is>
      </c>
      <c r="C10" s="7">
        <f>MIN(C8+C6,9000000)</f>
        <v/>
      </c>
    </row>
    <row r="11">
      <c r="B11" s="5" t="inlineStr">
        <is>
          <t>적용 공제율(총급여 5,500만원 기준)</t>
        </is>
      </c>
      <c r="C11" s="8">
        <f>IF(C7&lt;=55000000,0.165,0.132)</f>
        <v/>
      </c>
    </row>
    <row r="12">
      <c r="B12" s="9" t="inlineStr">
        <is>
          <t>올해 예상 환급액(원)</t>
        </is>
      </c>
      <c r="C12" s="7">
        <f>C10*C11</f>
        <v/>
      </c>
    </row>
    <row r="14">
      <c r="B14" s="3" t="inlineStr">
        <is>
          <t>B. 노후 수령액(연금소득세 포함) 추정</t>
        </is>
      </c>
    </row>
    <row r="15">
      <c r="B15" s="5" t="inlineStr">
        <is>
          <t>남은 적립 연수(년)</t>
        </is>
      </c>
      <c r="C15" s="6" t="n">
        <v>15</v>
      </c>
    </row>
    <row r="16">
      <c r="B16" s="5" t="inlineStr">
        <is>
          <t>가정 연 수익률(기준, %)</t>
        </is>
      </c>
      <c r="C16" s="10" t="n">
        <v>0.04</v>
      </c>
    </row>
    <row r="17">
      <c r="B17" s="5" t="inlineStr">
        <is>
          <t>희망 수령 기간(년)</t>
        </is>
      </c>
      <c r="C17" s="6" t="n">
        <v>20</v>
      </c>
    </row>
    <row r="18">
      <c r="B18" s="5" t="inlineStr">
        <is>
          <t>연금 수령 예정 나이(세)</t>
        </is>
      </c>
      <c r="C18" s="6" t="n">
        <v>65</v>
      </c>
    </row>
    <row r="20">
      <c r="B20" s="11" t="inlineStr">
        <is>
          <t>수익률 시나리오</t>
        </is>
      </c>
      <c r="C20" s="11" t="inlineStr">
        <is>
          <t>가정 연 수익률</t>
        </is>
      </c>
      <c r="D20" s="11" t="inlineStr">
        <is>
          <t>적립금 총액(세전, 원)</t>
        </is>
      </c>
      <c r="E20" s="11" t="inlineStr">
        <is>
          <t>연 수령액(세전, 원)</t>
        </is>
      </c>
      <c r="F20" s="11" t="inlineStr">
        <is>
          <t>적용 연금소득세율</t>
        </is>
      </c>
      <c r="G20" s="11" t="inlineStr">
        <is>
          <t>월 실수령액(세후, 원)</t>
        </is>
      </c>
    </row>
    <row r="21">
      <c r="B21" s="9" t="inlineStr">
        <is>
          <t>보수적(-1%p)</t>
        </is>
      </c>
      <c r="C21" s="12">
        <f>C16-0.01</f>
        <v/>
      </c>
      <c r="D21" s="7">
        <f>(C5+C6)*(((1+C21)^C15-1)/C21)</f>
        <v/>
      </c>
      <c r="E21" s="7">
        <f>D21/C17</f>
        <v/>
      </c>
      <c r="F21" s="8">
        <f>IF(C18&lt;70,0.055,IF(C18&lt;80,0.044,0.033))</f>
        <v/>
      </c>
      <c r="G21" s="7">
        <f>(E21*(1-F21))/12</f>
        <v/>
      </c>
    </row>
    <row r="22">
      <c r="B22" s="9" t="inlineStr">
        <is>
          <t>기준</t>
        </is>
      </c>
      <c r="C22" s="12">
        <f>C16</f>
        <v/>
      </c>
      <c r="D22" s="7">
        <f>(C5+C6)*(((1+C22)^C15-1)/C22)</f>
        <v/>
      </c>
      <c r="E22" s="7">
        <f>D22/C17</f>
        <v/>
      </c>
      <c r="F22" s="8">
        <f>IF(C18&lt;70,0.055,IF(C18&lt;80,0.044,0.033))</f>
        <v/>
      </c>
      <c r="G22" s="7">
        <f>(E22*(1-F22))/12</f>
        <v/>
      </c>
    </row>
    <row r="23">
      <c r="B23" s="9" t="inlineStr">
        <is>
          <t>낙관적(+1%p)</t>
        </is>
      </c>
      <c r="C23" s="12">
        <f>C16+0.01</f>
        <v/>
      </c>
      <c r="D23" s="7">
        <f>(C5+C6)*(((1+C23)^C15-1)/C23)</f>
        <v/>
      </c>
      <c r="E23" s="7">
        <f>D23/C17</f>
        <v/>
      </c>
      <c r="F23" s="8">
        <f>IF(C18&lt;70,0.055,IF(C18&lt;80,0.044,0.033))</f>
        <v/>
      </c>
      <c r="G23" s="7">
        <f>(E23*(1-F23))/12</f>
        <v/>
      </c>
    </row>
    <row r="25">
      <c r="B25" s="4" t="inlineStr">
        <is>
          <t>참고 — 연금소득세율은 수령 나이 55~69세 5.5%, 70~79세 4.4%, 80세 이상 3.3%로 알려진 구간을 적용한 추정치입니다. 가정 수익률은 실제와 다를 수 있으므로, 상담 시 '가정 수익률 OO% 기준'이라는 전제를 반드시 리포트 상단에 명시하고 보수적·낙관적 시나리오를 함께 보여주세요.</t>
        </is>
      </c>
    </row>
    <row r="26"/>
    <row r="27"/>
  </sheetData>
  <mergeCells count="1">
    <mergeCell ref="B25:G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2026-10-19T21:11:29Z</dcterms:created>
  <dcterms:modified xmlns:dcterms="http://purl.org/dc/terms/" xmlns:xsi="http://www.w3.org/2001/XMLSchema-instance" xsi:type="dcterms:W3CDTF">2026-10-19T21:11:29Z</dcterms:modified>
</cp:coreProperties>
</file>