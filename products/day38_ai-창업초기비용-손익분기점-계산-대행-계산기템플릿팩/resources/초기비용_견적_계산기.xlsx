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  <font>
      <b val="1"/>
      <color rgb="FF262C3D"/>
      <sz val="12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B87F1F"/>
      </patternFill>
    </fill>
    <fill>
      <patternFill patternType="solid">
        <fgColor rgb="FFE3E6CE"/>
      </patternFill>
    </fill>
  </fills>
  <borders count="2">
    <border>
      <left/>
      <right/>
      <top/>
      <bottom/>
      <diagonal/>
    </border>
    <border>
      <left style="thin">
        <color rgb="FFD9DACB"/>
      </left>
      <right style="thin">
        <color rgb="FFD9DACB"/>
      </right>
      <top style="thin">
        <color rgb="FFD9DACB"/>
      </top>
      <bottom style="thin">
        <color rgb="FFD9DAC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5" fillId="3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164" fontId="3" fillId="2" borderId="1" pivotButton="0" quotePrefix="0" xfId="0"/>
    <xf numFmtId="0" fontId="4" fillId="0" borderId="1" pivotButton="0" quotePrefix="0" xfId="0"/>
    <xf numFmtId="0" fontId="2" fillId="0" borderId="1" pivotButton="0" quotePrefix="0" xfId="0"/>
    <xf numFmtId="164" fontId="2" fillId="4" borderId="1" pivotButton="0" quotePrefix="0" xfId="0"/>
    <xf numFmtId="165" fontId="3" fillId="2" borderId="1" pivotButton="0" quotePrefix="0" xfId="0"/>
    <xf numFmtId="0" fontId="6" fillId="0" borderId="0" pivotButton="0" quotePrefix="0" xfId="0"/>
    <xf numFmtId="164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창업 초기비용 견적 계산기</t>
        </is>
      </c>
    </row>
    <row r="4">
      <c r="B4" s="2" t="inlineStr">
        <is>
          <t>⚠ 사용 전 꼭 읽어주세요</t>
        </is>
      </c>
    </row>
    <row r="5" ht="30" customHeight="1">
      <c r="B5" s="3" t="inlineStr">
        <is>
          <t>본 계산기는 창업 초기비용을 항목별로 가늠해보는 참고용 도구입니다. 사업 자문이나 세무·회계 자문을 대신하지 않으며, 실제 견적은 상권·평수·업체 컨디션에 따라 크게 달라질 수 있습니다.</t>
        </is>
      </c>
    </row>
    <row r="6" ht="30" customHeight="1">
      <c r="B6" s="3" t="inlineStr">
        <is>
          <t>부동산 임대차 계약서, 인테리어 견적서 등 실제 서류로 반드시 최종 확인한 뒤 상담·판매에 사용하세요. (기준: 2026년 9월 확인)</t>
        </is>
      </c>
    </row>
    <row r="8">
      <c r="B8" s="2" t="inlineStr">
        <is>
          <t>사용법</t>
        </is>
      </c>
    </row>
    <row r="9">
      <c r="B9" s="3" t="inlineStr">
        <is>
          <t>① '계산기' 시트의 노란색 칸에 업종 정보와 항목별 예상 금액을 입력</t>
        </is>
      </c>
    </row>
    <row r="10">
      <c r="B10" s="3" t="inlineStr">
        <is>
          <t>② 참고 최소~최대 금액과 비교하며 내 예상 금액을 현실적으로 조정</t>
        </is>
      </c>
    </row>
    <row r="11">
      <c r="B11" s="3" t="inlineStr">
        <is>
          <t>③ 올리브색 칸에서 예비비·운영자금이 반영된 총 초기비용 합계 확인</t>
        </is>
      </c>
    </row>
    <row r="12">
      <c r="B12" s="3" t="inlineStr">
        <is>
          <t>④ 총 초기비용 합계를 '손익분기점_목표매출_계산기.xlsx'의 투자금 회수기간 계산에 그대로 옮겨 사용</t>
        </is>
      </c>
    </row>
    <row r="14" ht="30" customHeight="1">
      <c r="B14" s="4" t="inlineStr">
        <is>
          <t>총 초기비용 합계(예비비·운영자금 포함)가 이 계산기의 핵심 결과입니다. 이 값을 그대로 상담 리포트와 다음 계산기(손익분기점)로 이어서 쓰세요.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34" customWidth="1" min="6" max="6"/>
  </cols>
  <sheetData>
    <row r="1">
      <c r="A1" s="1" t="inlineStr">
        <is>
          <t>창업 초기비용 견적 계산기</t>
        </is>
      </c>
    </row>
    <row r="3">
      <c r="A3" s="2" t="inlineStr">
        <is>
          <t>① 업종 정보</t>
        </is>
      </c>
    </row>
    <row r="4">
      <c r="A4" s="3" t="inlineStr">
        <is>
          <t>업종</t>
        </is>
      </c>
      <c r="B4" s="5" t="inlineStr">
        <is>
          <t>카페</t>
        </is>
      </c>
    </row>
    <row r="5">
      <c r="A5" s="3" t="inlineStr">
        <is>
          <t>예상 평수</t>
        </is>
      </c>
      <c r="B5" s="5" t="n">
        <v>20</v>
      </c>
    </row>
    <row r="6">
      <c r="A6" s="3" t="inlineStr">
        <is>
          <t>상권/지역</t>
        </is>
      </c>
      <c r="B6" s="5" t="inlineStr">
        <is>
          <t>역세권 이면도로</t>
        </is>
      </c>
    </row>
    <row r="8">
      <c r="A8" s="2" t="inlineStr">
        <is>
          <t>② 일시 지출 항목 (초기비용)</t>
        </is>
      </c>
    </row>
    <row r="9">
      <c r="A9" s="6" t="inlineStr">
        <is>
          <t>항목</t>
        </is>
      </c>
      <c r="B9" s="6" t="inlineStr">
        <is>
          <t>참고 최소금액</t>
        </is>
      </c>
      <c r="C9" s="6" t="inlineStr">
        <is>
          <t>참고 최대금액</t>
        </is>
      </c>
      <c r="D9" s="6" t="inlineStr">
        <is>
          <t>내 예상 금액(입력)</t>
        </is>
      </c>
      <c r="E9" s="6" t="inlineStr">
        <is>
          <t>비고</t>
        </is>
      </c>
    </row>
    <row r="10">
      <c r="A10" s="7" t="inlineStr">
        <is>
          <t>보증금</t>
        </is>
      </c>
      <c r="B10" s="8" t="n">
        <v>10000000</v>
      </c>
      <c r="C10" s="8" t="n">
        <v>50000000</v>
      </c>
      <c r="D10" s="9" t="n">
        <v>30000000</v>
      </c>
      <c r="E10" s="10" t="inlineStr">
        <is>
          <t>임대차 계약서 기준으로 조정</t>
        </is>
      </c>
    </row>
    <row r="11">
      <c r="A11" s="7" t="inlineStr">
        <is>
          <t>권리금</t>
        </is>
      </c>
      <c r="B11" s="8" t="n">
        <v>0</v>
      </c>
      <c r="C11" s="8" t="n">
        <v>30000000</v>
      </c>
      <c r="D11" s="9" t="n">
        <v>15000000</v>
      </c>
      <c r="E11" s="10" t="inlineStr">
        <is>
          <t>무권리 매물이면 0으로 변경</t>
        </is>
      </c>
    </row>
    <row r="12">
      <c r="A12" s="7" t="inlineStr">
        <is>
          <t>인테리어</t>
        </is>
      </c>
      <c r="B12" s="8" t="n">
        <v>15000000</v>
      </c>
      <c r="C12" s="8" t="n">
        <v>60000000</v>
      </c>
      <c r="D12" s="9" t="n">
        <v>37500000</v>
      </c>
      <c r="E12" s="10" t="inlineStr">
        <is>
          <t>평당 시공비 × 평수로 재추정 가능</t>
        </is>
      </c>
    </row>
    <row r="13">
      <c r="A13" s="7" t="inlineStr">
        <is>
          <t>설비·집기</t>
        </is>
      </c>
      <c r="B13" s="8" t="n">
        <v>8000000</v>
      </c>
      <c r="C13" s="8" t="n">
        <v>30000000</v>
      </c>
      <c r="D13" s="9" t="n">
        <v>19000000</v>
      </c>
      <c r="E13" s="10" t="inlineStr">
        <is>
          <t>중고 설비 활용 시 하향 조정</t>
        </is>
      </c>
    </row>
    <row r="14">
      <c r="A14" s="7" t="inlineStr">
        <is>
          <t>초도재고</t>
        </is>
      </c>
      <c r="B14" s="8" t="n">
        <v>3000000</v>
      </c>
      <c r="C14" s="8" t="n">
        <v>15000000</v>
      </c>
      <c r="D14" s="9" t="n">
        <v>9000000</v>
      </c>
      <c r="E14" s="10" t="inlineStr">
        <is>
          <t>업종별 편차 큼(요식업 vs 온라인셀러)</t>
        </is>
      </c>
    </row>
    <row r="15">
      <c r="A15" s="7" t="inlineStr">
        <is>
          <t>인허가·사업자등록비용</t>
        </is>
      </c>
      <c r="B15" s="8" t="n">
        <v>100000</v>
      </c>
      <c r="C15" s="8" t="n">
        <v>1000000</v>
      </c>
      <c r="D15" s="9" t="n">
        <v>550000</v>
      </c>
      <c r="E15" s="10" t="inlineStr">
        <is>
          <t>영업신고·인허가 필요 업종만 발생</t>
        </is>
      </c>
    </row>
    <row r="16">
      <c r="A16" s="7" t="inlineStr">
        <is>
          <t>마케팅·오픈행사비</t>
        </is>
      </c>
      <c r="B16" s="8" t="n">
        <v>500000</v>
      </c>
      <c r="C16" s="8" t="n">
        <v>3000000</v>
      </c>
      <c r="D16" s="9" t="n">
        <v>1750000</v>
      </c>
      <c r="E16" s="10" t="inlineStr">
        <is>
          <t>오픈 이벤트·초기 광고비</t>
        </is>
      </c>
    </row>
    <row r="17">
      <c r="A17" s="7" t="inlineStr">
        <is>
          <t>기타</t>
        </is>
      </c>
      <c r="B17" s="8" t="n">
        <v>500000</v>
      </c>
      <c r="C17" s="8" t="n">
        <v>3000000</v>
      </c>
      <c r="D17" s="9" t="n">
        <v>1750000</v>
      </c>
      <c r="E17" s="10" t="inlineStr">
        <is>
          <t>간판, 초기 소모품 등</t>
        </is>
      </c>
    </row>
    <row r="18">
      <c r="A18" s="11" t="inlineStr">
        <is>
          <t>소계</t>
        </is>
      </c>
      <c r="D18" s="12">
        <f>SUM(D10:D17)</f>
        <v/>
      </c>
    </row>
    <row r="20">
      <c r="A20" s="2" t="inlineStr">
        <is>
          <t>③ 예비비</t>
        </is>
      </c>
    </row>
    <row r="21">
      <c r="A21" s="3" t="inlineStr">
        <is>
          <t>예비비율(권장 10~20%)</t>
        </is>
      </c>
      <c r="B21" s="13" t="n">
        <v>0.15</v>
      </c>
    </row>
    <row r="22">
      <c r="A22" s="2" t="inlineStr">
        <is>
          <t>예비비 금액</t>
        </is>
      </c>
      <c r="B22" s="12">
        <f>D18*B21</f>
        <v/>
      </c>
    </row>
    <row r="24">
      <c r="A24" s="2" t="inlineStr">
        <is>
          <t>④ 운영자금(런웨이)</t>
        </is>
      </c>
    </row>
    <row r="25">
      <c r="A25" s="3" t="inlineStr">
        <is>
          <t>손익분기 도달 예상 개월수</t>
        </is>
      </c>
      <c r="B25" s="5" t="n">
        <v>3</v>
      </c>
    </row>
    <row r="26">
      <c r="A26" s="3" t="inlineStr">
        <is>
          <t>월 예상 적자</t>
        </is>
      </c>
      <c r="B26" s="9" t="n">
        <v>3000000</v>
      </c>
    </row>
    <row r="27">
      <c r="A27" s="2" t="inlineStr">
        <is>
          <t>운영자금 합계</t>
        </is>
      </c>
      <c r="B27" s="12">
        <f>B25*B26</f>
        <v/>
      </c>
    </row>
    <row r="29">
      <c r="A29" s="2" t="inlineStr">
        <is>
          <t>⑤ 총 창업 초기비용</t>
        </is>
      </c>
    </row>
    <row r="30">
      <c r="A30" s="14" t="inlineStr">
        <is>
          <t>총 초기비용 합계 (예비비·운영자금 포함)</t>
        </is>
      </c>
      <c r="B30" s="15">
        <f>D18+B22+B27</f>
        <v/>
      </c>
    </row>
    <row r="32">
      <c r="A32" s="4" t="inlineStr">
        <is>
          <t>이 총계를 '손익분기점_목표매출_계산기.xlsx'의 ⑤ 투자금 회수기간 계산에 그대로 입력하세요.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2026-09-25T21:25:33Z</dcterms:created>
  <dcterms:modified xsi:type="dcterms:W3CDTF">2026-09-25T21:25:33Z</dcterms:modified>
</cp:coreProperties>
</file>