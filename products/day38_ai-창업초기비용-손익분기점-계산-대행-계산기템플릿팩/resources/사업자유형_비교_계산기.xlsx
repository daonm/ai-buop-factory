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안내" sheetId="1" state="visible" r:id="rId1"/>
    <sheet name="계산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6">
    <font>
      <name val="Calibri"/>
      <family val="2"/>
      <color theme="1"/>
      <sz val="11"/>
      <scheme val="minor"/>
    </font>
    <font>
      <b val="1"/>
      <color rgb="FF262C3D"/>
      <sz val="13"/>
    </font>
    <font>
      <b val="1"/>
      <color rgb="FF262C3D"/>
    </font>
    <font>
      <color rgb="FF262C3D"/>
    </font>
    <font>
      <color rgb="FF565F72"/>
      <sz val="10"/>
    </font>
    <font>
      <b val="1"/>
      <color rgb="FFFFFFFF"/>
    </font>
  </fonts>
  <fills count="5">
    <fill>
      <patternFill/>
    </fill>
    <fill>
      <patternFill patternType="gray125"/>
    </fill>
    <fill>
      <patternFill patternType="solid">
        <fgColor rgb="FFFFF6D9"/>
      </patternFill>
    </fill>
    <fill>
      <patternFill patternType="solid">
        <fgColor rgb="FFE3E6CE"/>
      </patternFill>
    </fill>
    <fill>
      <patternFill patternType="solid">
        <fgColor rgb="FFB87F1F"/>
      </patternFill>
    </fill>
  </fills>
  <borders count="2">
    <border>
      <left/>
      <right/>
      <top/>
      <bottom/>
      <diagonal/>
    </border>
    <border>
      <left style="thin">
        <color rgb="FFD9DACB"/>
      </left>
      <right style="thin">
        <color rgb="FFD9DACB"/>
      </right>
      <top style="thin">
        <color rgb="FFD9DACB"/>
      </top>
      <bottom style="thin">
        <color rgb="FFD9DAC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3" fillId="2" borderId="1" pivotButton="0" quotePrefix="0" xfId="0"/>
    <xf numFmtId="165" fontId="3" fillId="2" borderId="1" pivotButton="0" quotePrefix="0" xfId="0"/>
    <xf numFmtId="164" fontId="2" fillId="3" borderId="1" pivotButton="0" quotePrefix="0" xfId="0"/>
    <xf numFmtId="0" fontId="5" fillId="4" borderId="1" applyAlignment="1" pivotButton="0" quotePrefix="0" xfId="0">
      <alignment horizontal="center"/>
    </xf>
    <xf numFmtId="0" fontId="3" fillId="0" borderId="1" pivotButton="0" quotePrefix="0" xfId="0"/>
    <xf numFmtId="165" fontId="3" fillId="0" borderId="1" pivotButton="0" quotePrefix="0" xfId="0"/>
    <xf numFmtId="164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4"/>
  <sheetViews>
    <sheetView workbookViewId="0">
      <selection activeCell="A1" sqref="A1"/>
    </sheetView>
  </sheetViews>
  <sheetFormatPr baseColWidth="8" defaultRowHeight="15"/>
  <cols>
    <col width="3" customWidth="1" min="1" max="1"/>
    <col width="92" customWidth="1" min="2" max="2"/>
  </cols>
  <sheetData>
    <row r="2">
      <c r="B2" s="1" t="inlineStr">
        <is>
          <t>사업자 유형(개인/법인, 간이/일반과세) 비교 계산기</t>
        </is>
      </c>
    </row>
    <row r="4">
      <c r="B4" s="2" t="inlineStr">
        <is>
          <t>⚠ 사용 전 꼭 읽어주세요</t>
        </is>
      </c>
    </row>
    <row r="5" ht="30" customHeight="1">
      <c r="B5" s="3" t="inlineStr">
        <is>
          <t>본 계산기는 세율 구조를 단순화해 개인·법인, 간이·일반과세의 대략적인 차이를 보여주는 참고용 도구입니다. 세무·법률 자문을 대신하지 않습니다.</t>
        </is>
      </c>
    </row>
    <row r="6" ht="30" customHeight="1">
      <c r="B6" s="3" t="inlineStr">
        <is>
          <t>간이과세 기준금액, 세율, 각종 공제는 세법 개정으로 자주 바뀝니다. 실제 신고·설립 전 반드시 국세청 홈택스 또는 세무사를 통해 최신 기준을 확인하세요. (기준: 2026년 9월 확인)</t>
        </is>
      </c>
    </row>
    <row r="8">
      <c r="B8" s="2" t="inlineStr">
        <is>
          <t>사용법</t>
        </is>
      </c>
    </row>
    <row r="9">
      <c r="B9" s="3" t="inlineStr">
        <is>
          <t>① '계산기' 시트의 노란색 칸에 예상 연매출·연 순이익을 입력</t>
        </is>
      </c>
    </row>
    <row r="10">
      <c r="B10" s="3" t="inlineStr">
        <is>
          <t>② 올리브색 칸에서 간이 vs 일반과세자 부가가치세 차이 확인</t>
        </is>
      </c>
    </row>
    <row r="11">
      <c r="B11" s="3" t="inlineStr">
        <is>
          <t>③ 종합소득세(개인) vs 법인세 비교 결과와 아래 누진세율표 확인</t>
        </is>
      </c>
    </row>
    <row r="12">
      <c r="B12" s="3" t="inlineStr">
        <is>
          <t>④ 초기 설립비용 비교표에서 실제 견적(등록면허세·법무사 수수료 등)으로 노란 칸을 교체</t>
        </is>
      </c>
    </row>
    <row r="14" ht="30" customHeight="1">
      <c r="B14" s="4" t="inlineStr">
        <is>
          <t>법인세율이 낮아 보여도 이익을 인출할 때 배당소득세(약 15.4%)가 추가로 붙는다는 점을 반드시 함께 설명하세요. 세율 차이만 보고 법인이 무조건 유리하다고 안내하면 안 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사업자 유형 비교 계산기</t>
        </is>
      </c>
    </row>
    <row r="3">
      <c r="A3" s="2" t="inlineStr">
        <is>
          <t>① 입력</t>
        </is>
      </c>
    </row>
    <row r="4">
      <c r="A4" s="3" t="inlineStr">
        <is>
          <t>예상 연매출</t>
        </is>
      </c>
      <c r="B4" s="5" t="n">
        <v>80000000</v>
      </c>
    </row>
    <row r="5">
      <c r="A5" s="3" t="inlineStr">
        <is>
          <t>예상 연 순이익(매출-비용)</t>
        </is>
      </c>
      <c r="B5" s="5" t="n">
        <v>30000000</v>
      </c>
    </row>
    <row r="6">
      <c r="A6" s="3" t="inlineStr">
        <is>
          <t>업종 부가가치율(간이과세, 기준표 참고)</t>
        </is>
      </c>
      <c r="B6" s="6" t="n">
        <v>0.15</v>
      </c>
    </row>
    <row r="7">
      <c r="A7" s="3" t="inlineStr">
        <is>
          <t>매입세액(연, 세금계산서 수취분×10%)</t>
        </is>
      </c>
      <c r="B7" s="5" t="n">
        <v>3000000</v>
      </c>
    </row>
    <row r="9">
      <c r="A9" s="2" t="inlineStr">
        <is>
          <t>② 부가가치세 비교 (간이 vs 일반과세자)</t>
        </is>
      </c>
    </row>
    <row r="10">
      <c r="A10" s="3" t="inlineStr">
        <is>
          <t>간이과세자 납부세액 (연매출×부가가치율×10%)</t>
        </is>
      </c>
      <c r="B10" s="7">
        <f>B4*B6*0.1</f>
        <v/>
      </c>
    </row>
    <row r="11">
      <c r="A11" s="3" t="inlineStr">
        <is>
          <t>일반과세자 납부세액 (매출세액−매입세액)</t>
        </is>
      </c>
      <c r="B11" s="7">
        <f>B4*0.1-B7</f>
        <v/>
      </c>
    </row>
    <row r="12">
      <c r="A12" s="2" t="inlineStr">
        <is>
          <t>차이 (일반과세자 − 간이과세자)</t>
        </is>
      </c>
      <c r="B12" s="7">
        <f>B11-B10</f>
        <v/>
      </c>
      <c r="C12" s="4" t="inlineStr">
        <is>
          <t>간이과세는 연매출 1억 400만 원(부동산임대업 등 일부 업종은 4,800만 원) 초과 시 적용 불가.</t>
        </is>
      </c>
    </row>
    <row r="14">
      <c r="A14" s="2" t="inlineStr">
        <is>
          <t>③ 세율 구조 비교 (개인 종합소득세 vs 법인세)</t>
        </is>
      </c>
    </row>
    <row r="15">
      <c r="A15" s="3" t="inlineStr">
        <is>
          <t>종합소득세 예상 세액(개인, 단순 가정)</t>
        </is>
      </c>
      <c r="B15" s="7">
        <f>IF(B5&lt;=14000000,B5*0.06,IF(B5&lt;=50000000,B5*0.15-1260000,IF(B5&lt;=88000000,B5*0.24-5760000,IF(B5&lt;=150000000,B5*0.35-15440000,IF(B5&lt;=300000000,B5*0.38-19940000,IF(B5&lt;=500000000,B5*0.4-25940000,IF(B5&lt;=1000000000,B5*0.42-35940000,B5*0.45-65940000)))))))</f>
        <v/>
      </c>
    </row>
    <row r="16">
      <c r="A16" s="3" t="inlineStr">
        <is>
          <t>법인세 예상 세액(법인, 단순 가정)</t>
        </is>
      </c>
      <c r="B16" s="7">
        <f>IF(B5&lt;=200000000,B5*0.09,B5*0.19-20000000)</f>
        <v/>
      </c>
    </row>
    <row r="17">
      <c r="A17" s="2" t="inlineStr">
        <is>
          <t>차이 (종합소득세 − 법인세)</t>
        </is>
      </c>
      <c r="B17" s="7">
        <f>B15-B16</f>
        <v/>
      </c>
      <c r="C17" s="4" t="inlineStr">
        <is>
          <t>실제 신고 시 각종 소득공제·세액공제가 추가로 반영되어 실제 세액은 달라집니다. 이 값은 순이익=과세표준으로 단순 가정한 근사치입니다.</t>
        </is>
      </c>
    </row>
    <row r="19">
      <c r="A19" s="2" t="inlineStr">
        <is>
          <t>종합소득세 누진세율표 (2025~2026년 귀속 기준, 국세청 고시)</t>
        </is>
      </c>
    </row>
    <row r="20">
      <c r="A20" s="8" t="inlineStr">
        <is>
          <t>과세표준 구간</t>
        </is>
      </c>
      <c r="B20" s="8" t="inlineStr">
        <is>
          <t>세율</t>
        </is>
      </c>
      <c r="C20" s="8" t="inlineStr">
        <is>
          <t>누진공제</t>
        </is>
      </c>
    </row>
    <row r="21">
      <c r="A21" s="9" t="inlineStr">
        <is>
          <t>1,400만원 이하</t>
        </is>
      </c>
      <c r="B21" s="10" t="n">
        <v>0.06</v>
      </c>
      <c r="C21" s="11" t="n">
        <v>0</v>
      </c>
    </row>
    <row r="22">
      <c r="A22" s="9" t="inlineStr">
        <is>
          <t>1,400만~5,000만원</t>
        </is>
      </c>
      <c r="B22" s="10" t="n">
        <v>0.15</v>
      </c>
      <c r="C22" s="11" t="n">
        <v>1260000</v>
      </c>
    </row>
    <row r="23">
      <c r="A23" s="9" t="inlineStr">
        <is>
          <t>5,000만~8,800만원</t>
        </is>
      </c>
      <c r="B23" s="10" t="n">
        <v>0.24</v>
      </c>
      <c r="C23" s="11" t="n">
        <v>5760000</v>
      </c>
    </row>
    <row r="24">
      <c r="A24" s="9" t="inlineStr">
        <is>
          <t>8,800만~1억5,000만원</t>
        </is>
      </c>
      <c r="B24" s="10" t="n">
        <v>0.35</v>
      </c>
      <c r="C24" s="11" t="n">
        <v>15440000</v>
      </c>
    </row>
    <row r="25">
      <c r="A25" s="9" t="inlineStr">
        <is>
          <t>1억5,000만~3억원</t>
        </is>
      </c>
      <c r="B25" s="10" t="n">
        <v>0.38</v>
      </c>
      <c r="C25" s="11" t="n">
        <v>19940000</v>
      </c>
    </row>
    <row r="26">
      <c r="A26" s="9" t="inlineStr">
        <is>
          <t>3억~5억원</t>
        </is>
      </c>
      <c r="B26" s="10" t="n">
        <v>0.4</v>
      </c>
      <c r="C26" s="11" t="n">
        <v>25940000</v>
      </c>
    </row>
    <row r="27">
      <c r="A27" s="9" t="inlineStr">
        <is>
          <t>5억~10억원</t>
        </is>
      </c>
      <c r="B27" s="10" t="n">
        <v>0.42</v>
      </c>
      <c r="C27" s="11" t="n">
        <v>35940000</v>
      </c>
    </row>
    <row r="28">
      <c r="A28" s="9" t="inlineStr">
        <is>
          <t>10억원 초과</t>
        </is>
      </c>
      <c r="B28" s="10" t="n">
        <v>0.45</v>
      </c>
      <c r="C28" s="11" t="n">
        <v>65940000</v>
      </c>
    </row>
    <row r="29">
      <c r="A29" s="4" t="inlineStr">
        <is>
          <t>법인세: 2억원 이하 9%, 2억~200억원 19%(누진공제 2,000만원)</t>
        </is>
      </c>
    </row>
    <row r="31">
      <c r="A31" s="2" t="inlineStr">
        <is>
          <t>④ 초기 설립비용 비교</t>
        </is>
      </c>
    </row>
    <row r="32">
      <c r="A32" s="8" t="inlineStr">
        <is>
          <t>항목</t>
        </is>
      </c>
      <c r="B32" s="8" t="inlineStr">
        <is>
          <t>개인사업자</t>
        </is>
      </c>
      <c r="C32" s="8" t="inlineStr">
        <is>
          <t>법인사업자(비과밀지역 기준)</t>
        </is>
      </c>
    </row>
    <row r="33">
      <c r="A33" s="9" t="inlineStr">
        <is>
          <t>사업자등록 신청 수수료</t>
        </is>
      </c>
      <c r="B33" s="5" t="n">
        <v>0</v>
      </c>
      <c r="C33" s="5" t="n">
        <v>0</v>
      </c>
    </row>
    <row r="34">
      <c r="A34" s="9" t="inlineStr">
        <is>
          <t>등록면허세(자본금 1,000만원 기준)</t>
        </is>
      </c>
      <c r="B34" s="5" t="n">
        <v>0</v>
      </c>
      <c r="C34" s="5" t="n">
        <v>112500</v>
      </c>
    </row>
    <row r="35">
      <c r="A35" s="9" t="inlineStr">
        <is>
          <t>법원 등기 수수료(전자등기)</t>
        </is>
      </c>
      <c r="B35" s="5" t="n">
        <v>0</v>
      </c>
      <c r="C35" s="5" t="n">
        <v>25000</v>
      </c>
    </row>
    <row r="36">
      <c r="A36" s="9" t="inlineStr">
        <is>
          <t>정관 공증(자본금 10억 미만 발기설립 시 생략 가능)</t>
        </is>
      </c>
      <c r="B36" s="5" t="n">
        <v>0</v>
      </c>
      <c r="C36" s="5" t="n">
        <v>150000</v>
      </c>
    </row>
    <row r="37">
      <c r="A37" s="9" t="inlineStr">
        <is>
          <t>법무사·세무대리 설립 대행 수수료(견적 2~3곳 비교 권장)</t>
        </is>
      </c>
      <c r="B37" s="5" t="n">
        <v>0</v>
      </c>
      <c r="C37" s="5" t="n">
        <v>300000</v>
      </c>
    </row>
    <row r="38">
      <c r="A38" s="12" t="inlineStr">
        <is>
          <t>합계</t>
        </is>
      </c>
      <c r="B38" s="7">
        <f>SUM(B33:B37)</f>
        <v/>
      </c>
      <c r="C38" s="7">
        <f>SUM(C33:C37)</f>
        <v/>
      </c>
    </row>
    <row r="39">
      <c r="A39" s="4" t="inlineStr">
        <is>
          <t>서울 전역·인천·경기 일부(과밀억제권역)에서 법인 설립 시 등록면허세가 3배 중과됩니다(위 예시는 비과밀 지역 기준). 실제 견적으로 노란 칸을 교체하세요.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2026-09-25T21:25:34Z</dcterms:created>
  <dcterms:modified xsi:type="dcterms:W3CDTF">2026-09-25T21:25:34Z</dcterms:modified>
</cp:coreProperties>
</file>