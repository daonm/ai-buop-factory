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262C3D"/>
      <sz val="12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  <fill>
      <patternFill patternType="solid">
        <fgColor rgb="FFF7F8F2"/>
      </patternFill>
    </fill>
  </fills>
  <borders count="2">
    <border>
      <left/>
      <right/>
      <top/>
      <bottom/>
      <diagonal/>
    </border>
    <border>
      <left style="thin">
        <color rgb="FFD9DACB"/>
      </left>
      <right style="thin">
        <color rgb="FFD9DACB"/>
      </right>
      <top style="thin">
        <color rgb="FFD9DACB"/>
      </top>
      <bottom style="thin">
        <color rgb="FFD9DAC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164" fontId="2" fillId="3" borderId="1" pivotButton="0" quotePrefix="0" xfId="0"/>
    <xf numFmtId="10" fontId="2" fillId="3" borderId="1" pivotButton="0" quotePrefix="0" xfId="0"/>
    <xf numFmtId="0" fontId="5" fillId="0" borderId="0" pivotButton="0" quotePrefix="0" xfId="0"/>
    <xf numFmtId="164" fontId="5" fillId="3" borderId="1" pivotButton="0" quotePrefix="0" xfId="0"/>
    <xf numFmtId="0" fontId="6" fillId="4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4" fontId="2" fillId="5" borderId="1" pivotButton="0" quotePrefix="0" xfId="0"/>
    <xf numFmtId="165" fontId="3" fillId="0" borderId="1" pivotButton="0" quotePrefix="0" xfId="0"/>
    <xf numFmtId="164" fontId="3" fillId="3" borderId="1" pivotButton="0" quotePrefix="0" xfId="0"/>
    <xf numFmtId="0" fontId="4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인건비·대출상환 반영 현금흐름표</t>
        </is>
      </c>
    </row>
    <row r="4">
      <c r="B4" s="2" t="inlineStr">
        <is>
          <t>⚠ 사용 전 꼭 읽어주세요</t>
        </is>
      </c>
    </row>
    <row r="5" ht="30" customHeight="1">
      <c r="B5" s="3" t="inlineStr">
        <is>
          <t>본 계산기는 인건비·대출 상환을 반영한 현금흐름을 가늠해보는 참고용 도구입니다. 실제 4대보험 요율·최저임금·대출 조건은 매년 바뀌므로 그대로 상담에 쓰지 마세요.</t>
        </is>
      </c>
    </row>
    <row r="6" ht="30" customHeight="1">
      <c r="B6" s="3" t="inlineStr">
        <is>
          <t>최신 4대보험 요율과 실제 대출 금리는 반드시 공고·은행 앱으로 재확인한 뒤 사용하세요. (기준: 2026년 9월 확인, 사업주 부담률 참고치 약 10.9%)</t>
        </is>
      </c>
    </row>
    <row r="8">
      <c r="B8" s="2" t="inlineStr">
        <is>
          <t>사용법</t>
        </is>
      </c>
    </row>
    <row r="9">
      <c r="B9" s="3" t="inlineStr">
        <is>
          <t>① '계산기' 시트의 노란색 칸에 직원 수·월급·대출 조건을 입력</t>
        </is>
      </c>
    </row>
    <row r="10">
      <c r="B10" s="3" t="inlineStr">
        <is>
          <t>② 올리브색 칸에서 인건비·대출상환이 반영된 최종 월 고정비 확인</t>
        </is>
      </c>
    </row>
    <row r="11">
      <c r="B11" s="3" t="inlineStr">
        <is>
          <t>③ 이 최종 월 고정비를 '손익분기점_목표매출_계산기.xlsx'의 월 고정비에 다시 입력해 새 손익분기점을 구함</t>
        </is>
      </c>
    </row>
    <row r="12">
      <c r="B12" s="3" t="inlineStr">
        <is>
          <t>④ 12개월 현금흐름표와 낙관·중립·비관 시나리오로 버틸 수 있는 기간까지 확인</t>
        </is>
      </c>
    </row>
    <row r="14" ht="30" customHeight="1">
      <c r="B14" s="4" t="inlineStr">
        <is>
          <t>직원을 고용하고 대출을 낀 순간 손익분기점이 크게 올라갑니다. 이 계산기의 ③ 최종 월 고정비를 반드시 손익분기점 계산기에 다시 반영하세요.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인건비·대출상환 반영 현금흐름표</t>
        </is>
      </c>
    </row>
    <row r="3">
      <c r="A3" s="2" t="inlineStr">
        <is>
          <t>① 인건비 입력</t>
        </is>
      </c>
    </row>
    <row r="4">
      <c r="A4" s="3" t="inlineStr">
        <is>
          <t>직원 수(명)</t>
        </is>
      </c>
      <c r="B4" s="5" t="n">
        <v>2</v>
      </c>
    </row>
    <row r="5">
      <c r="A5" s="3" t="inlineStr">
        <is>
          <t>1인당 월급</t>
        </is>
      </c>
      <c r="B5" s="6" t="n">
        <v>2200000</v>
      </c>
    </row>
    <row r="6">
      <c r="A6" s="3" t="inlineStr">
        <is>
          <t>4대보험 사업주부담률(참고치)</t>
        </is>
      </c>
      <c r="B6" s="7" t="n">
        <v>0.109</v>
      </c>
    </row>
    <row r="7">
      <c r="A7" s="2" t="inlineStr">
        <is>
          <t>월 인건비 총액</t>
        </is>
      </c>
      <c r="B7" s="8">
        <f>B4*B5*(1+B6)</f>
        <v/>
      </c>
    </row>
    <row r="9">
      <c r="A9" s="2" t="inlineStr">
        <is>
          <t>② 대출상환 입력</t>
        </is>
      </c>
    </row>
    <row r="10">
      <c r="A10" s="3" t="inlineStr">
        <is>
          <t>창업자금 대출 원금</t>
        </is>
      </c>
      <c r="B10" s="6" t="n">
        <v>50000000</v>
      </c>
    </row>
    <row r="11">
      <c r="A11" s="3" t="inlineStr">
        <is>
          <t>연이율</t>
        </is>
      </c>
      <c r="B11" s="7" t="n">
        <v>0.055</v>
      </c>
    </row>
    <row r="12">
      <c r="A12" s="3" t="inlineStr">
        <is>
          <t>상환개월수</t>
        </is>
      </c>
      <c r="B12" s="5" t="n">
        <v>60</v>
      </c>
    </row>
    <row r="13">
      <c r="A13" s="3" t="inlineStr">
        <is>
          <t>거치개월수(원금상환 유예, 0 가능)</t>
        </is>
      </c>
      <c r="B13" s="5" t="n">
        <v>0</v>
      </c>
    </row>
    <row r="14">
      <c r="A14" s="3" t="inlineStr">
        <is>
          <t>월이율(연이율÷12)</t>
        </is>
      </c>
      <c r="B14" s="9">
        <f>B11/12</f>
        <v/>
      </c>
    </row>
    <row r="15">
      <c r="A15" s="2" t="inlineStr">
        <is>
          <t>원리금균등 월상환액(거치 종료 후)</t>
        </is>
      </c>
      <c r="B15" s="8">
        <f>B10*B14*(1+B14)^B12/((1+B14)^B12-1)</f>
        <v/>
      </c>
    </row>
    <row r="16">
      <c r="A16" s="3" t="inlineStr">
        <is>
          <t>거치기간 중 월 이자만</t>
        </is>
      </c>
      <c r="B16" s="8">
        <f>B10*B14</f>
        <v/>
      </c>
    </row>
    <row r="18">
      <c r="A18" s="2" t="inlineStr">
        <is>
          <t>③ 반영된 월 고정비</t>
        </is>
      </c>
    </row>
    <row r="19">
      <c r="A19" s="3" t="inlineStr">
        <is>
          <t>기존 월 고정비(임차료·관리비 등, 입력)</t>
        </is>
      </c>
      <c r="B19" s="6" t="n">
        <v>3000000</v>
      </c>
    </row>
    <row r="20">
      <c r="A20" s="3" t="inlineStr">
        <is>
          <t>+ 인건비 반영</t>
        </is>
      </c>
      <c r="B20" s="8">
        <f>B7</f>
        <v/>
      </c>
    </row>
    <row r="21">
      <c r="A21" s="3" t="inlineStr">
        <is>
          <t>+ 대출상환 반영(거치 종료 후 기준)</t>
        </is>
      </c>
      <c r="B21" s="8">
        <f>B15</f>
        <v/>
      </c>
    </row>
    <row r="22">
      <c r="A22" s="10">
        <f> 최종 월 고정비 합계</f>
        <v/>
      </c>
      <c r="B22" s="11">
        <f>B19+B20+B21</f>
        <v/>
      </c>
    </row>
    <row r="24">
      <c r="A24" s="2" t="inlineStr">
        <is>
          <t>④ 12개월 현금흐름표</t>
        </is>
      </c>
    </row>
    <row r="25">
      <c r="A25" s="3" t="inlineStr">
        <is>
          <t>월 예상 매출(동일 가정, 입력)</t>
        </is>
      </c>
      <c r="B25" s="6" t="n">
        <v>12000000</v>
      </c>
    </row>
    <row r="26">
      <c r="A26" s="3" t="inlineStr">
        <is>
          <t>변동비율(매출 대비, 입력)</t>
        </is>
      </c>
      <c r="B26" s="7" t="n">
        <v>0.35</v>
      </c>
    </row>
    <row r="28">
      <c r="A28" s="12" t="inlineStr">
        <is>
          <t>월</t>
        </is>
      </c>
      <c r="B28" s="12" t="inlineStr">
        <is>
          <t>매출</t>
        </is>
      </c>
      <c r="C28" s="12" t="inlineStr">
        <is>
          <t>변동비</t>
        </is>
      </c>
      <c r="D28" s="12" t="inlineStr">
        <is>
          <t>고정비</t>
        </is>
      </c>
      <c r="E28" s="12" t="inlineStr">
        <is>
          <t>월손익</t>
        </is>
      </c>
      <c r="F28" s="12" t="inlineStr">
        <is>
          <t>누적손익</t>
        </is>
      </c>
    </row>
    <row r="29">
      <c r="A29" s="13" t="inlineStr">
        <is>
          <t>1월</t>
        </is>
      </c>
      <c r="B29" s="14">
        <f>$B$25</f>
        <v/>
      </c>
      <c r="C29" s="14">
        <f>B29*$B$26</f>
        <v/>
      </c>
      <c r="D29" s="14">
        <f>$B$22</f>
        <v/>
      </c>
      <c r="E29" s="15">
        <f>B29-C29-D29</f>
        <v/>
      </c>
      <c r="F29" s="15">
        <f>E29</f>
        <v/>
      </c>
    </row>
    <row r="30">
      <c r="A30" s="13" t="inlineStr">
        <is>
          <t>2월</t>
        </is>
      </c>
      <c r="B30" s="14">
        <f>$B$25</f>
        <v/>
      </c>
      <c r="C30" s="14">
        <f>B30*$B$26</f>
        <v/>
      </c>
      <c r="D30" s="14">
        <f>$B$22</f>
        <v/>
      </c>
      <c r="E30" s="15">
        <f>B30-C30-D30</f>
        <v/>
      </c>
      <c r="F30" s="15">
        <f>F29+E30</f>
        <v/>
      </c>
    </row>
    <row r="31">
      <c r="A31" s="13" t="inlineStr">
        <is>
          <t>3월</t>
        </is>
      </c>
      <c r="B31" s="14">
        <f>$B$25</f>
        <v/>
      </c>
      <c r="C31" s="14">
        <f>B31*$B$26</f>
        <v/>
      </c>
      <c r="D31" s="14">
        <f>$B$22</f>
        <v/>
      </c>
      <c r="E31" s="15">
        <f>B31-C31-D31</f>
        <v/>
      </c>
      <c r="F31" s="15">
        <f>F30+E31</f>
        <v/>
      </c>
    </row>
    <row r="32">
      <c r="A32" s="13" t="inlineStr">
        <is>
          <t>4월</t>
        </is>
      </c>
      <c r="B32" s="14">
        <f>$B$25</f>
        <v/>
      </c>
      <c r="C32" s="14">
        <f>B32*$B$26</f>
        <v/>
      </c>
      <c r="D32" s="14">
        <f>$B$22</f>
        <v/>
      </c>
      <c r="E32" s="15">
        <f>B32-C32-D32</f>
        <v/>
      </c>
      <c r="F32" s="15">
        <f>F31+E32</f>
        <v/>
      </c>
    </row>
    <row r="33">
      <c r="A33" s="13" t="inlineStr">
        <is>
          <t>5월</t>
        </is>
      </c>
      <c r="B33" s="14">
        <f>$B$25</f>
        <v/>
      </c>
      <c r="C33" s="14">
        <f>B33*$B$26</f>
        <v/>
      </c>
      <c r="D33" s="14">
        <f>$B$22</f>
        <v/>
      </c>
      <c r="E33" s="15">
        <f>B33-C33-D33</f>
        <v/>
      </c>
      <c r="F33" s="15">
        <f>F32+E33</f>
        <v/>
      </c>
    </row>
    <row r="34">
      <c r="A34" s="13" t="inlineStr">
        <is>
          <t>6월</t>
        </is>
      </c>
      <c r="B34" s="14">
        <f>$B$25</f>
        <v/>
      </c>
      <c r="C34" s="14">
        <f>B34*$B$26</f>
        <v/>
      </c>
      <c r="D34" s="14">
        <f>$B$22</f>
        <v/>
      </c>
      <c r="E34" s="15">
        <f>B34-C34-D34</f>
        <v/>
      </c>
      <c r="F34" s="15">
        <f>F33+E34</f>
        <v/>
      </c>
    </row>
    <row r="35">
      <c r="A35" s="13" t="inlineStr">
        <is>
          <t>7월</t>
        </is>
      </c>
      <c r="B35" s="14">
        <f>$B$25</f>
        <v/>
      </c>
      <c r="C35" s="14">
        <f>B35*$B$26</f>
        <v/>
      </c>
      <c r="D35" s="14">
        <f>$B$22</f>
        <v/>
      </c>
      <c r="E35" s="15">
        <f>B35-C35-D35</f>
        <v/>
      </c>
      <c r="F35" s="15">
        <f>F34+E35</f>
        <v/>
      </c>
    </row>
    <row r="36">
      <c r="A36" s="13" t="inlineStr">
        <is>
          <t>8월</t>
        </is>
      </c>
      <c r="B36" s="14">
        <f>$B$25</f>
        <v/>
      </c>
      <c r="C36" s="14">
        <f>B36*$B$26</f>
        <v/>
      </c>
      <c r="D36" s="14">
        <f>$B$22</f>
        <v/>
      </c>
      <c r="E36" s="15">
        <f>B36-C36-D36</f>
        <v/>
      </c>
      <c r="F36" s="15">
        <f>F35+E36</f>
        <v/>
      </c>
    </row>
    <row r="37">
      <c r="A37" s="13" t="inlineStr">
        <is>
          <t>9월</t>
        </is>
      </c>
      <c r="B37" s="14">
        <f>$B$25</f>
        <v/>
      </c>
      <c r="C37" s="14">
        <f>B37*$B$26</f>
        <v/>
      </c>
      <c r="D37" s="14">
        <f>$B$22</f>
        <v/>
      </c>
      <c r="E37" s="15">
        <f>B37-C37-D37</f>
        <v/>
      </c>
      <c r="F37" s="15">
        <f>F36+E37</f>
        <v/>
      </c>
    </row>
    <row r="38">
      <c r="A38" s="13" t="inlineStr">
        <is>
          <t>10월</t>
        </is>
      </c>
      <c r="B38" s="14">
        <f>$B$25</f>
        <v/>
      </c>
      <c r="C38" s="14">
        <f>B38*$B$26</f>
        <v/>
      </c>
      <c r="D38" s="14">
        <f>$B$22</f>
        <v/>
      </c>
      <c r="E38" s="15">
        <f>B38-C38-D38</f>
        <v/>
      </c>
      <c r="F38" s="15">
        <f>F37+E38</f>
        <v/>
      </c>
    </row>
    <row r="39">
      <c r="A39" s="13" t="inlineStr">
        <is>
          <t>11월</t>
        </is>
      </c>
      <c r="B39" s="14">
        <f>$B$25</f>
        <v/>
      </c>
      <c r="C39" s="14">
        <f>B39*$B$26</f>
        <v/>
      </c>
      <c r="D39" s="14">
        <f>$B$22</f>
        <v/>
      </c>
      <c r="E39" s="15">
        <f>B39-C39-D39</f>
        <v/>
      </c>
      <c r="F39" s="15">
        <f>F38+E39</f>
        <v/>
      </c>
    </row>
    <row r="40">
      <c r="A40" s="13" t="inlineStr">
        <is>
          <t>12월</t>
        </is>
      </c>
      <c r="B40" s="14">
        <f>$B$25</f>
        <v/>
      </c>
      <c r="C40" s="14">
        <f>B40*$B$26</f>
        <v/>
      </c>
      <c r="D40" s="14">
        <f>$B$22</f>
        <v/>
      </c>
      <c r="E40" s="15">
        <f>B40-C40-D40</f>
        <v/>
      </c>
      <c r="F40" s="15">
        <f>F39+E40</f>
        <v/>
      </c>
    </row>
    <row r="42">
      <c r="A42" s="2" t="inlineStr">
        <is>
          <t>⑤ 낙관·중립·비관 시나리오</t>
        </is>
      </c>
    </row>
    <row r="43">
      <c r="A43" s="12" t="inlineStr">
        <is>
          <t>시나리오</t>
        </is>
      </c>
      <c r="B43" s="12" t="inlineStr">
        <is>
          <t>매출 배율</t>
        </is>
      </c>
      <c r="C43" s="12" t="inlineStr">
        <is>
          <t>월 매출</t>
        </is>
      </c>
      <c r="D43" s="12" t="inlineStr">
        <is>
          <t>월 손익</t>
        </is>
      </c>
      <c r="E43" s="12" t="inlineStr">
        <is>
          <t>비고</t>
        </is>
      </c>
    </row>
    <row r="44">
      <c r="A44" s="13" t="inlineStr">
        <is>
          <t>낙관</t>
        </is>
      </c>
      <c r="B44" s="16" t="n">
        <v>1.2</v>
      </c>
      <c r="C44" s="17">
        <f>$B$25*B44</f>
        <v/>
      </c>
      <c r="D44" s="17">
        <f>C44-C44*$B$26-$B$22</f>
        <v/>
      </c>
      <c r="E44" s="18" t="inlineStr">
        <is>
          <t>목표 대비 120% 판매</t>
        </is>
      </c>
    </row>
    <row r="45">
      <c r="A45" s="13" t="inlineStr">
        <is>
          <t>중립</t>
        </is>
      </c>
      <c r="B45" s="16" t="n">
        <v>1</v>
      </c>
      <c r="C45" s="17">
        <f>$B$25*B45</f>
        <v/>
      </c>
      <c r="D45" s="17">
        <f>C45-C45*$B$26-$B$22</f>
        <v/>
      </c>
      <c r="E45" s="18" t="inlineStr">
        <is>
          <t>계획대로 판매</t>
        </is>
      </c>
    </row>
    <row r="46">
      <c r="A46" s="13" t="inlineStr">
        <is>
          <t>비관</t>
        </is>
      </c>
      <c r="B46" s="16" t="n">
        <v>0.7</v>
      </c>
      <c r="C46" s="17">
        <f>$B$25*B46</f>
        <v/>
      </c>
      <c r="D46" s="17">
        <f>C46-C46*$B$26-$B$22</f>
        <v/>
      </c>
      <c r="E46" s="18" t="inlineStr">
        <is>
          <t>목표 대비 70%만 판매</t>
        </is>
      </c>
    </row>
    <row r="48">
      <c r="A48" s="3" t="inlineStr">
        <is>
          <t>운영자금(초기비용 견적 계산기 결과 입력)</t>
        </is>
      </c>
      <c r="B48" s="6" t="n">
        <v>15000000</v>
      </c>
    </row>
    <row r="49">
      <c r="A49" s="2" t="inlineStr">
        <is>
          <t>비관 시나리오에서 버틸 수 있는 개월수</t>
        </is>
      </c>
      <c r="B49" s="19">
        <f>IF(D46&gt;=0,"흑자 유지",B48/ABS(D46))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2026-09-25T21:25:33Z</dcterms:created>
  <dcterms:modified xsi:type="dcterms:W3CDTF">2026-09-25T21:25:34Z</dcterms:modified>
</cp:coreProperties>
</file>