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FF262C3D"/>
      <sz val="14"/>
    </font>
    <font>
      <name val="맑은 고딕"/>
      <b val="1"/>
      <color rgb="FF262C3D"/>
      <sz val="10.5"/>
    </font>
    <font>
      <name val="맑은 고딕"/>
      <color rgb="FF262C3D"/>
      <sz val="10.5"/>
    </font>
    <font>
      <name val="맑은 고딕"/>
      <b val="1"/>
      <color rgb="FFFFFFFF"/>
      <sz val="9.5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B87F1F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3" fontId="3" fillId="2" borderId="0" pivotButton="0" quotePrefix="0" xfId="0"/>
    <xf numFmtId="9" fontId="3" fillId="2" borderId="0" pivotButton="0" quotePrefix="0" xfId="0"/>
    <xf numFmtId="0" fontId="4" fillId="3" borderId="0" pivotButton="0" quotePrefix="0" xfId="0"/>
    <xf numFmtId="2" fontId="3" fillId="2" borderId="0" pivotButton="0" quotePrefix="0" xfId="0"/>
    <xf numFmtId="3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다두 사육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1마리 기준 월 고정비에 항목별 '규모의 경제' 배율을 적용해, 여러 마리를 함께 키울 때</t>
        </is>
      </c>
    </row>
    <row r="6">
      <c r="B6" s="3" t="inlineStr">
        <is>
          <t>실제 총 양육비가 단순히 '마리 수 × 1마리 비용'이 아니라는 점을 숫자로 보여주는 참고용 도구입니다.</t>
        </is>
      </c>
    </row>
    <row r="7">
      <c r="B7" s="3" t="inlineStr"/>
    </row>
    <row r="8">
      <c r="B8" s="2" t="inlineStr">
        <is>
          <t>사용법</t>
        </is>
      </c>
    </row>
    <row r="9">
      <c r="B9" s="3" t="inlineStr">
        <is>
          <t>① 노란색 칸에 마리 수와 1마리 기준 월 고정비 항목(사료·병원·미용·용품)을 입력합니다.</t>
        </is>
      </c>
    </row>
    <row r="10">
      <c r="B10" s="3" t="inlineStr">
        <is>
          <t>② 항목별 배율(사료·병원·보험처럼 마리 수에 비례하는 항목은 1.0에 가깝게, 대형 용품·돌봄비처럼</t>
        </is>
      </c>
    </row>
    <row r="11">
      <c r="B11" s="3" t="inlineStr">
        <is>
          <t xml:space="preserve">   규모의 경제가 적용되는 항목은 1.0보다 낮게)을 조건에 맞게 조정합니다.</t>
        </is>
      </c>
    </row>
    <row r="12">
      <c r="B12" s="3" t="inlineStr">
        <is>
          <t>③ 올리브색 칸에서 단순 n배 적용 총액과 배율 적용 실제 총액, 절감액이 자동 계산됩니다.</t>
        </is>
      </c>
    </row>
    <row r="13">
      <c r="B13" s="3" t="inlineStr">
        <is>
          <t>④ 동시 진료·미용 할인을 제공하는 병원·펫샵이 있다면 할인율 칸에 반영하세요.</t>
        </is>
      </c>
    </row>
    <row r="15">
      <c r="B15" s="4" t="inlineStr">
        <is>
          <t>이 계산기는 확정 비용이 아니라 참고용 추정치입니다. 배율은 '반려동물 양육비 계산 대행하는 법' 전자책 방법 8의 일반적인 경향을 바탕으로 한 기본값이며, 실제 비용은 마리 수·품종·거주 환경에 따라 달라질 수 있으니 의뢰인의 실제 조건으로 반드시 재확인하세요.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2" t="inlineStr">
        <is>
          <t>다두 사육 비교 계산기</t>
        </is>
      </c>
    </row>
    <row r="3">
      <c r="A3" s="2" t="inlineStr">
        <is>
          <t>① 기본 조건 입력</t>
        </is>
      </c>
    </row>
    <row r="4">
      <c r="A4" s="3" t="inlineStr">
        <is>
          <t>사육 마리 수 (마리)</t>
        </is>
      </c>
      <c r="B4" s="5" t="n">
        <v>3</v>
      </c>
    </row>
    <row r="5">
      <c r="A5" s="3" t="inlineStr">
        <is>
          <t>동시 진료·미용 할인율 (%, 2마리 이상 동반 방문 시)</t>
        </is>
      </c>
      <c r="B5" s="6" t="n">
        <v>0.1</v>
      </c>
    </row>
    <row r="7">
      <c r="A7" s="2" t="inlineStr">
        <is>
          <t>② 1마리 기준 월 고정비 &amp; 항목별 배율 입력</t>
        </is>
      </c>
    </row>
    <row r="8">
      <c r="A8" s="7" t="inlineStr">
        <is>
          <t>항목</t>
        </is>
      </c>
      <c r="B8" s="7" t="inlineStr">
        <is>
          <t>1마리 기준 월비용(원)</t>
        </is>
      </c>
      <c r="C8" s="7" t="inlineStr">
        <is>
          <t>규모의 경제 배율</t>
        </is>
      </c>
      <c r="D8" s="7" t="inlineStr">
        <is>
          <t>n마리 단순적용(원)</t>
        </is>
      </c>
      <c r="E8" s="7" t="inlineStr">
        <is>
          <t>배율+할인 적용(원)</t>
        </is>
      </c>
    </row>
    <row r="9">
      <c r="A9" s="3" t="inlineStr">
        <is>
          <t>사료·간식비 (비례 항목)</t>
        </is>
      </c>
      <c r="B9" s="5" t="n">
        <v>45000</v>
      </c>
      <c r="C9" s="8" t="n">
        <v>1</v>
      </c>
      <c r="D9" s="9">
        <f>B9*$B$4</f>
        <v/>
      </c>
      <c r="E9" s="9">
        <f>ROUND(B9*(1+(($B$4-1)*C9))*(1-$B$5),0)</f>
        <v/>
      </c>
    </row>
    <row r="10">
      <c r="A10" s="3" t="inlineStr">
        <is>
          <t>병원 정기검진·예방접종 (비례 항목)</t>
        </is>
      </c>
      <c r="B10" s="5" t="n">
        <v>36800</v>
      </c>
      <c r="C10" s="8" t="n">
        <v>0.95</v>
      </c>
      <c r="D10" s="9">
        <f>B10*$B$4</f>
        <v/>
      </c>
      <c r="E10" s="9">
        <f>ROUND(B10*(1+(($B$4-1)*C10))*(1-$B$5),0)</f>
        <v/>
      </c>
    </row>
    <row r="11">
      <c r="A11" s="3" t="inlineStr">
        <is>
          <t>미용·위생관리비 (일부 규모의경제)</t>
        </is>
      </c>
      <c r="B11" s="5" t="n">
        <v>21000</v>
      </c>
      <c r="C11" s="8" t="n">
        <v>0.85</v>
      </c>
      <c r="D11" s="9">
        <f>B11*$B$4</f>
        <v/>
      </c>
      <c r="E11" s="9">
        <f>ROUND(B11*(1+(($B$4-1)*C11))*(1-$B$5),0)</f>
        <v/>
      </c>
    </row>
    <row r="12">
      <c r="A12" s="3" t="inlineStr">
        <is>
          <t>소모용품비 (배변패드·모래 등, 일부 규모의경제)</t>
        </is>
      </c>
      <c r="B12" s="5" t="n">
        <v>18800</v>
      </c>
      <c r="C12" s="8" t="n">
        <v>0.8</v>
      </c>
      <c r="D12" s="9">
        <f>B12*$B$4</f>
        <v/>
      </c>
      <c r="E12" s="9">
        <f>ROUND(B12*(1+(($B$4-1)*C12))*(1-$B$5),0)</f>
        <v/>
      </c>
    </row>
    <row r="13">
      <c r="A13" s="3" t="inlineStr">
        <is>
          <t>대형 용품 월 환산분 (켄넬·펜스·화장실 모래보관함, 강한 규모의경제)</t>
        </is>
      </c>
      <c r="B13" s="5" t="n">
        <v>8000</v>
      </c>
      <c r="C13" s="8" t="n">
        <v>0.35</v>
      </c>
      <c r="D13" s="9">
        <f>B13*$B$4</f>
        <v/>
      </c>
      <c r="E13" s="9">
        <f>ROUND(B13*(1+(($B$4-1)*C13))*(1-$B$5),0)</f>
        <v/>
      </c>
    </row>
    <row r="14">
      <c r="A14" s="3" t="inlineStr">
        <is>
          <t>돌봄비 월 환산분 (펫시터 1회 방문비 기준, 강한 규모의경제)</t>
        </is>
      </c>
      <c r="B14" s="5" t="n">
        <v>9000</v>
      </c>
      <c r="C14" s="8" t="n">
        <v>0.3</v>
      </c>
      <c r="D14" s="9">
        <f>B14*$B$4</f>
        <v/>
      </c>
      <c r="E14" s="9">
        <f>ROUND(B14*(1+(($B$4-1)*C14))*(1-$B$5),0)</f>
        <v/>
      </c>
    </row>
    <row r="16">
      <c r="A16" s="3" t="inlineStr">
        <is>
          <t>★ 월 고정비 합계</t>
        </is>
      </c>
      <c r="D16" s="9">
        <f>SUM(D9:D14)</f>
        <v/>
      </c>
      <c r="E16" s="9">
        <f>SUM(E9:E14)</f>
        <v/>
      </c>
    </row>
    <row r="18">
      <c r="A18" s="2" t="inlineStr">
        <is>
          <t>③ 비교 결과</t>
        </is>
      </c>
    </row>
    <row r="19">
      <c r="A19" s="3" t="inlineStr">
        <is>
          <t>★★ 단순 n배 적용 시 월 총액 (원)</t>
        </is>
      </c>
      <c r="B19" s="9">
        <f>D16</f>
        <v/>
      </c>
    </row>
    <row r="20">
      <c r="A20" s="3" t="inlineStr">
        <is>
          <t>★★ 배율+할인 적용 실제 월 총액 (원)</t>
        </is>
      </c>
      <c r="B20" s="9">
        <f>E16</f>
        <v/>
      </c>
    </row>
    <row r="21">
      <c r="A21" s="3" t="inlineStr">
        <is>
          <t>★★★ 월 절감액 (단순적용 대비, 원)</t>
        </is>
      </c>
      <c r="B21" s="9">
        <f>B19-B20</f>
        <v/>
      </c>
    </row>
    <row r="22">
      <c r="A22" s="3" t="inlineStr">
        <is>
          <t>★★★ 절감률 (%)</t>
        </is>
      </c>
      <c r="B22" s="10">
        <f>B21/B19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2026-10-13T21:25:27Z</dcterms:created>
  <dcterms:modified xmlns:dcterms="http://purl.org/dc/terms/" xmlns:xsi="http://www.w3.org/2001/XMLSchema-instance" xsi:type="dcterms:W3CDTF">2026-10-13T21:25:27Z</dcterms:modified>
</cp:coreProperties>
</file>