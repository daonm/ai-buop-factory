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계산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맑은 고딕"/>
      <b val="1"/>
      <color rgb="FF262C3D"/>
      <sz val="14"/>
    </font>
    <font>
      <name val="맑은 고딕"/>
      <b val="1"/>
      <color rgb="FF262C3D"/>
      <sz val="10.5"/>
    </font>
    <font>
      <name val="맑은 고딕"/>
      <color rgb="FF262C3D"/>
      <sz val="10.5"/>
    </font>
    <font>
      <name val="맑은 고딕"/>
      <b val="1"/>
      <color rgb="FFFFFFFF"/>
      <sz val="9.5"/>
    </font>
  </fonts>
  <fills count="5">
    <fill>
      <patternFill/>
    </fill>
    <fill>
      <patternFill patternType="gray125"/>
    </fill>
    <fill>
      <patternFill patternType="solid">
        <fgColor rgb="FFB87F1F"/>
      </patternFill>
    </fill>
    <fill>
      <patternFill patternType="solid">
        <fgColor rgb="FFFFF6D9"/>
      </patternFill>
    </fill>
    <fill>
      <patternFill patternType="solid">
        <fgColor rgb="FFE3E6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0" pivotButton="0" quotePrefix="0" xfId="0"/>
    <xf numFmtId="3" fontId="3" fillId="0" borderId="0" pivotButton="0" quotePrefix="0" xfId="0"/>
    <xf numFmtId="0" fontId="3" fillId="3" borderId="0" pivotButton="0" quotePrefix="0" xfId="0"/>
    <xf numFmtId="3" fontId="3" fillId="3" borderId="0" pivotButton="0" quotePrefix="0" xfId="0"/>
    <xf numFmtId="3" fontId="2" fillId="4" borderId="0" pivotButton="0" quotePrefix="0" xfId="0"/>
    <xf numFmtId="164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7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반려동물 평생 양육비 계산기</t>
        </is>
      </c>
    </row>
    <row r="4">
      <c r="B4" s="2" t="inlineStr">
        <is>
          <t>⚠ 사용 전 꼭 읽어주세요</t>
        </is>
      </c>
    </row>
    <row r="5">
      <c r="B5" s="3" t="inlineStr">
        <is>
          <t>본 계산기는 입양 초기비용, 월 고정비(사료·병원·미용·용품), 돌봄·장례비를 생애주기(유아기·성년기·노령기)별로</t>
        </is>
      </c>
    </row>
    <row r="6">
      <c r="B6" s="3" t="inlineStr">
        <is>
          <t>반영해 반려동물 평생 총 양육비를 계산하는 참고용 도구입니다. (기준: 2026년 10월 확인한 농림축산식품부</t>
        </is>
      </c>
    </row>
    <row r="7">
      <c r="B7" s="3" t="inlineStr">
        <is>
          <t>2025년 반려동물 양육현황조사 — 1마리당 월평균 양육비 약 12만 1천원, 개 13만 5천원·고양이 9만 2천원)</t>
        </is>
      </c>
    </row>
    <row r="8">
      <c r="B8" s="3" t="inlineStr"/>
    </row>
    <row r="9">
      <c r="B9" s="2" t="inlineStr">
        <is>
          <t>사용법</t>
        </is>
      </c>
    </row>
    <row r="10">
      <c r="B10" s="3" t="inlineStr">
        <is>
          <t>① '계산기' 시트 상단 종류별 월평균 양육비 참고표를 확인합니다.</t>
        </is>
      </c>
    </row>
    <row r="11">
      <c r="B11" s="3" t="inlineStr">
        <is>
          <t>② 노란색 칸(조건 입력)에 동물 종류·크기·예상수명과 입양 초기비용·월 고정비 항목을 입력합니다.</t>
        </is>
      </c>
    </row>
    <row r="12">
      <c r="B12" s="3" t="inlineStr">
        <is>
          <t>③ 올리브색 칸에서 초기비용 합계 → 월 고정비 합계 → 생애구간별(유아기/성년기/노령기) 예상 비용 →</t>
        </is>
      </c>
    </row>
    <row r="13">
      <c r="B13" s="3" t="inlineStr">
        <is>
          <t xml:space="preserve">   평생 누적 총비용까지 자동 계산됩니다.</t>
        </is>
      </c>
    </row>
    <row r="14">
      <c r="B14" s="3" t="inlineStr">
        <is>
          <t>④ 여러 마리를 함께 키울 계획이라면 '다두사육_비교_계산기.xlsx'로, 보험 가입 여부는</t>
        </is>
      </c>
    </row>
    <row r="15">
      <c r="B15" s="3" t="inlineStr">
        <is>
          <t xml:space="preserve">   '펫보험_가입여부_비교_계산기.xlsx'로 넘어가 별도로 계산하세요.</t>
        </is>
      </c>
    </row>
    <row r="17">
      <c r="B17" s="4" t="inlineStr">
        <is>
          <t>이 계산기는 확정 비용이 아니라 참고용 추정치입니다. 반려동물 양육비 통계는 조사 기관·시점마다 차이가 크고, 동물병원 진료비는 건강보험이 적용되지 않아 병원마다 2~5배 차이가 날 수 있습니다. 실제 지출 전 반드시 거주 지역 동물병원 진료비 게시 페이지(2025년 1월부터 공개 의무 항목 20개)를 확인하세요.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2" t="inlineStr">
        <is>
          <t>반려동물 평생 양육비 계산기</t>
        </is>
      </c>
    </row>
    <row r="3">
      <c r="A3" s="2" t="inlineStr">
        <is>
          <t>① 종류별 월평균 양육비 참고표 (농림축산식품부 2025년 조사)</t>
        </is>
      </c>
    </row>
    <row r="4">
      <c r="A4" s="5" t="inlineStr">
        <is>
          <t>구분</t>
        </is>
      </c>
      <c r="B4" s="5" t="inlineStr">
        <is>
          <t>월평균 양육비(원)</t>
        </is>
      </c>
    </row>
    <row r="5">
      <c r="A5" s="3" t="inlineStr">
        <is>
          <t>전체 평균</t>
        </is>
      </c>
      <c r="B5" s="6" t="n">
        <v>121000</v>
      </c>
    </row>
    <row r="6">
      <c r="A6" s="3" t="inlineStr">
        <is>
          <t>반려견</t>
        </is>
      </c>
      <c r="B6" s="6" t="n">
        <v>135000</v>
      </c>
    </row>
    <row r="7">
      <c r="A7" s="3" t="inlineStr">
        <is>
          <t>반려묘</t>
        </is>
      </c>
      <c r="B7" s="6" t="n">
        <v>92000</v>
      </c>
    </row>
    <row r="9">
      <c r="A9" s="2" t="inlineStr">
        <is>
          <t>② 기본 조건 입력</t>
        </is>
      </c>
    </row>
    <row r="10">
      <c r="A10" s="3" t="inlineStr">
        <is>
          <t>동물 종류 (개/고양이)</t>
        </is>
      </c>
      <c r="B10" s="7" t="inlineStr">
        <is>
          <t>개</t>
        </is>
      </c>
    </row>
    <row r="11">
      <c r="A11" s="3" t="inlineStr">
        <is>
          <t>크기 (소형/중형/대형, 고양이는 소형으로 입력)</t>
        </is>
      </c>
      <c r="B11" s="7" t="inlineStr">
        <is>
          <t>소형</t>
        </is>
      </c>
    </row>
    <row r="12">
      <c r="A12" s="3" t="inlineStr">
        <is>
          <t>입양 경로 (분양/보호소입양)</t>
        </is>
      </c>
      <c r="B12" s="7" t="inlineStr">
        <is>
          <t>분양</t>
        </is>
      </c>
    </row>
    <row r="13">
      <c r="A13" s="3" t="inlineStr">
        <is>
          <t>예상 수명 (년, 개 12~15년·고양이 13~17년 참고)</t>
        </is>
      </c>
      <c r="B13" s="8" t="n">
        <v>14</v>
      </c>
    </row>
    <row r="14">
      <c r="A14" s="3" t="inlineStr">
        <is>
          <t>다두 사육 여부 확인 — 2마리 이상은 '다두사육_비교_계산기.xlsx'로 별도 계산</t>
        </is>
      </c>
    </row>
    <row r="16">
      <c r="A16" s="2" t="inlineStr">
        <is>
          <t>③ 입양 초기비용 입력 (입양 첫 달에만 발생)</t>
        </is>
      </c>
    </row>
    <row r="17">
      <c r="A17" s="3" t="inlineStr">
        <is>
          <t>분양비/입양비 (원, 보호소 입양은 0~20만원대가 일반적)</t>
        </is>
      </c>
      <c r="B17" s="8" t="n">
        <v>300000</v>
      </c>
    </row>
    <row r="18">
      <c r="A18" s="3" t="inlineStr">
        <is>
          <t>종합백신 기초접종 등 예방접종 (원, 5회 기준 15만~25만)</t>
        </is>
      </c>
      <c r="B18" s="8" t="n">
        <v>200000</v>
      </c>
    </row>
    <row r="19">
      <c r="A19" s="3" t="inlineStr">
        <is>
          <t>중성화 수술 (원, 수컷 15만~30만·암컷 25만~50만)</t>
        </is>
      </c>
      <c r="B19" s="8" t="n">
        <v>280000</v>
      </c>
    </row>
    <row r="20">
      <c r="A20" s="3" t="inlineStr">
        <is>
          <t>초기용품 (켄넬·식기·리드줄·배변패드·장난감 등, 원)</t>
        </is>
      </c>
      <c r="B20" s="8" t="n">
        <v>250000</v>
      </c>
    </row>
    <row r="21">
      <c r="A21" s="3" t="inlineStr">
        <is>
          <t>★ 입양 초기비용 합계 (원)</t>
        </is>
      </c>
      <c r="B21" s="9">
        <f>SUM(B17:B20)</f>
        <v/>
      </c>
    </row>
    <row r="23">
      <c r="A23" s="2" t="inlineStr">
        <is>
          <t>④ 월 고정비 입력 (매달 반복)</t>
        </is>
      </c>
    </row>
    <row r="24">
      <c r="A24" s="3" t="inlineStr">
        <is>
          <t>사료·간식비 (월, 원 — 개 4만3,300원·고양이 3만5,200원 참고)</t>
        </is>
      </c>
      <c r="B24" s="8" t="n">
        <v>45000</v>
      </c>
    </row>
    <row r="25">
      <c r="A25" s="3" t="inlineStr">
        <is>
          <t>병원 정기검진비 (월 평균 환산, 원)</t>
        </is>
      </c>
      <c r="B25" s="8" t="n">
        <v>36800</v>
      </c>
    </row>
    <row r="26">
      <c r="A26" s="3" t="inlineStr">
        <is>
          <t>미용·위생관리비 (월, 원)</t>
        </is>
      </c>
      <c r="B26" s="8" t="n">
        <v>21000</v>
      </c>
    </row>
    <row r="27">
      <c r="A27" s="3" t="inlineStr">
        <is>
          <t>소모용품비 (배변패드·모래 등, 월, 원)</t>
        </is>
      </c>
      <c r="B27" s="8" t="n">
        <v>18800</v>
      </c>
    </row>
    <row r="28">
      <c r="A28" s="3" t="inlineStr">
        <is>
          <t>★ 월 고정비 합계 (원)</t>
        </is>
      </c>
      <c r="B28" s="9">
        <f>SUM(B24:B27)</f>
        <v/>
      </c>
    </row>
    <row r="30">
      <c r="A30" s="2" t="inlineStr">
        <is>
          <t>⑤ 생애주기별 의료비 변동 반영 (질병·사고 대비 월 적립 권장액)</t>
        </is>
      </c>
    </row>
    <row r="31">
      <c r="A31" s="3" t="inlineStr">
        <is>
          <t>무사고 연도 예상 의료비 (연, 원 — 정기검진 수준)</t>
        </is>
      </c>
      <c r="B31" s="8" t="n">
        <v>300000</v>
      </c>
    </row>
    <row r="32">
      <c r="A32" s="3" t="inlineStr">
        <is>
          <t>사고/질병 발생 연도 예상 의료비 (연, 원 — 최근 2년 평균 102만7천원 참고)</t>
        </is>
      </c>
      <c r="B32" s="8" t="n">
        <v>1200000</v>
      </c>
    </row>
    <row r="33">
      <c r="A33" s="3" t="inlineStr">
        <is>
          <t>사고 발생 주기 (몇 년에 한 번, 년)</t>
        </is>
      </c>
      <c r="B33" s="8" t="n">
        <v>4</v>
      </c>
    </row>
    <row r="34">
      <c r="A34" s="3" t="inlineStr">
        <is>
          <t>노령기(7세 이후) 의료비 배수 (배, 일반적으로 1.5~2배 증가 경향)</t>
        </is>
      </c>
      <c r="B34" s="10" t="n">
        <v>1.7</v>
      </c>
    </row>
    <row r="35">
      <c r="A35" s="3" t="inlineStr">
        <is>
          <t>월 평균 의료비 적립 권장액 (원, 자동계산)</t>
        </is>
      </c>
      <c r="B35" s="9">
        <f>ROUND(((B31*(B33-1)+B32)/B33)/12,0)</f>
        <v/>
      </c>
    </row>
    <row r="37">
      <c r="A37" s="2" t="inlineStr">
        <is>
          <t>⑥ 돌봄·장례비 입력</t>
        </is>
      </c>
    </row>
    <row r="38">
      <c r="A38" s="3" t="inlineStr">
        <is>
          <t>연간 펫시터·호텔링 횟수 (회)</t>
        </is>
      </c>
      <c r="B38" s="8" t="n">
        <v>3</v>
      </c>
    </row>
    <row r="39">
      <c r="A39" s="3" t="inlineStr">
        <is>
          <t>1회 평균 기간 (일)</t>
        </is>
      </c>
      <c r="B39" s="8" t="n">
        <v>3</v>
      </c>
    </row>
    <row r="40">
      <c r="A40" s="3" t="inlineStr">
        <is>
          <t>1일 펫시터·호텔링 단가 (원)</t>
        </is>
      </c>
      <c r="B40" s="8" t="n">
        <v>35000</v>
      </c>
    </row>
    <row r="41">
      <c r="A41" s="3" t="inlineStr">
        <is>
          <t>★ 연간 돌봄비 (원, 자동계산)</t>
        </is>
      </c>
      <c r="B41" s="9">
        <f>B38*B39*B40</f>
        <v/>
      </c>
    </row>
    <row r="42">
      <c r="A42" s="3" t="inlineStr">
        <is>
          <t>장례·추모 비용 (생애 말기 1회, 원)</t>
        </is>
      </c>
      <c r="B42" s="8" t="n">
        <v>500000</v>
      </c>
    </row>
    <row r="44">
      <c r="A44" s="2" t="inlineStr">
        <is>
          <t>⑦ 생애주기별 총비용 &amp; 평생 양육비 최종 총액</t>
        </is>
      </c>
    </row>
    <row r="45">
      <c r="A45" s="5" t="inlineStr">
        <is>
          <t>구분</t>
        </is>
      </c>
      <c r="B45" s="5" t="inlineStr">
        <is>
          <t>기간(년)</t>
        </is>
      </c>
      <c r="C45" s="5" t="inlineStr">
        <is>
          <t>구간별 예상 총비용(원)</t>
        </is>
      </c>
    </row>
    <row r="46">
      <c r="A46" s="3" t="inlineStr">
        <is>
          <t>유아기 (입양~1년)</t>
        </is>
      </c>
      <c r="B46" s="6" t="n">
        <v>1</v>
      </c>
      <c r="C46" s="9">
        <f>B21+B28*12+B35*12</f>
        <v/>
      </c>
    </row>
    <row r="47">
      <c r="A47" s="3" t="inlineStr">
        <is>
          <t>성년기 (1~7년)</t>
        </is>
      </c>
      <c r="B47" s="6">
        <f>MAX(MIN(B13,7)-1,0)</f>
        <v/>
      </c>
      <c r="C47" s="9">
        <f>(B28*12+B35*12)*B47</f>
        <v/>
      </c>
    </row>
    <row r="48">
      <c r="A48" s="3" t="inlineStr">
        <is>
          <t>노령기 (7년~예상수명)</t>
        </is>
      </c>
      <c r="B48" s="6">
        <f>MAX(B13-7,0)</f>
        <v/>
      </c>
      <c r="C48" s="9">
        <f>(B28*12+B35*12*B34)*B48</f>
        <v/>
      </c>
    </row>
    <row r="49">
      <c r="A49" s="3" t="inlineStr">
        <is>
          <t>돌봄비 (생애 전체, 자동계산)</t>
        </is>
      </c>
      <c r="B49" s="6">
        <f>B13</f>
        <v/>
      </c>
      <c r="C49" s="9">
        <f>B41*B13</f>
        <v/>
      </c>
    </row>
    <row r="50">
      <c r="A50" s="3" t="inlineStr">
        <is>
          <t>장례·추모비 (1회)</t>
        </is>
      </c>
      <c r="B50" s="6" t="n">
        <v>1</v>
      </c>
      <c r="C50" s="9">
        <f>B42</f>
        <v/>
      </c>
    </row>
    <row r="51">
      <c r="A51" s="3" t="inlineStr">
        <is>
          <t>★★ 평생 양육비 최종 총액 (원)</t>
        </is>
      </c>
      <c r="C51" s="9">
        <f>SUM(C46:C50)</f>
        <v/>
      </c>
    </row>
    <row r="53">
      <c r="A53" s="3" t="inlineStr">
        <is>
          <t>★★★ 월 평균 환산 (평생 총액 ÷ 예상 개월 수, 원)</t>
        </is>
      </c>
      <c r="C53" s="9">
        <f>ROUND(C51/(B13*12),0)</f>
        <v/>
      </c>
    </row>
  </sheetData>
  <dataValidations count="3">
    <dataValidation sqref="B10" showDropDown="0" showInputMessage="0" showErrorMessage="0" allowBlank="1" type="list">
      <formula1>"개,고양이"</formula1>
    </dataValidation>
    <dataValidation sqref="B11" showDropDown="0" showInputMessage="0" showErrorMessage="0" allowBlank="1" type="list">
      <formula1>"소형,중형,대형"</formula1>
    </dataValidation>
    <dataValidation sqref="B12" showDropDown="0" showInputMessage="0" showErrorMessage="0" allowBlank="1" type="list">
      <formula1>"분양,보호소입양"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2026-10-13T21:25:27Z</dcterms:created>
  <dcterms:modified xmlns:dcterms="http://purl.org/dc/terms/" xmlns:xsi="http://www.w3.org/2001/XMLSchema-instance" xsi:type="dcterms:W3CDTF">2026-10-13T21:25:27Z</dcterms:modified>
</cp:coreProperties>
</file>