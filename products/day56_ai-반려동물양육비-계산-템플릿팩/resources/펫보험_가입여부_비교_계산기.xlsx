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262C3D"/>
      <sz val="14"/>
    </font>
    <font>
      <name val="맑은 고딕"/>
      <b val="1"/>
      <color rgb="FF262C3D"/>
      <sz val="10.5"/>
    </font>
    <font>
      <name val="맑은 고딕"/>
      <color rgb="FF262C3D"/>
      <sz val="10.5"/>
    </font>
    <font>
      <name val="맑은 고딕"/>
      <b val="1"/>
      <color rgb="FFFFFFFF"/>
      <sz val="9.5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3" fontId="3" fillId="2" borderId="0" pivotButton="0" quotePrefix="0" xfId="0"/>
    <xf numFmtId="9" fontId="3" fillId="2" borderId="0" pivotButton="0" quotePrefix="0" xfId="0"/>
    <xf numFmtId="3" fontId="2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펫보험 가입여부 비교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펫보험 월 보험료 총 납입액과, 무사고·사고 두 시나리오의 실제 치료비를 비교해</t>
        </is>
      </c>
    </row>
    <row r="6">
      <c r="B6" s="3" t="inlineStr">
        <is>
          <t>'가입하는 쪽이 평균적으로 유리한지'를 숫자로 보여주는 참고용 도구입니다. (기준: 2026년 10월 확인한</t>
        </is>
      </c>
    </row>
    <row r="7">
      <c r="B7" s="3" t="inlineStr">
        <is>
          <t>국내 펫보험 가입률 약 1.7%, 최근 2년 반려동물 연평균 치료비 102만7천원 — 실제 지출 가구만 보면</t>
        </is>
      </c>
    </row>
    <row r="8">
      <c r="B8" s="3" t="inlineStr">
        <is>
          <t>평균 146만3천원이라는 공개 통계)</t>
        </is>
      </c>
    </row>
    <row r="9">
      <c r="B9" s="3" t="inlineStr"/>
    </row>
    <row r="10">
      <c r="B10" s="2" t="inlineStr">
        <is>
          <t>사용법</t>
        </is>
      </c>
    </row>
    <row r="11">
      <c r="B11" s="3" t="inlineStr">
        <is>
          <t>① 노란색 칸에 월 보험료, 가입 연수, 무사고/사고 시나리오별 예상 치료비, 사고 발생 주기를 입력합니다.</t>
        </is>
      </c>
    </row>
    <row r="12">
      <c r="B12" s="3" t="inlineStr">
        <is>
          <t>② 올리브색 칸에서 총 납입액, 무사고 시·사고 시 미가입 대비 차액, 손익분기 치료비가 자동 계산됩니다.</t>
        </is>
      </c>
    </row>
    <row r="13">
      <c r="B13" s="3" t="inlineStr">
        <is>
          <t>③ 보험 가입 여부는 '수학적으로 어느 쪽이 싼지'만이 아니라, 목돈 의료비를 감당할 현금 여력이</t>
        </is>
      </c>
    </row>
    <row r="14">
      <c r="B14" s="3" t="inlineStr">
        <is>
          <t xml:space="preserve">   있는지도 함께 고려하도록 의뢰인에게 안내하세요.</t>
        </is>
      </c>
    </row>
    <row r="16">
      <c r="B16" s="4" t="inlineStr">
        <is>
          <t>이 계산기는 확정 비용이 아니라 참고용 추정치입니다. 실제 펫보험은 상품별 보장범위·자기부담금·면책기간이 크게 다르고, 질병·사고 발생 확률도 개체·품종별 편차가 큽니다. 이 부업은 보험 설계·가입 대행이 아니라 비교 계산 안내라는 점을 상담 시작 전 명확히 전달하세요.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8" customWidth="1" min="3" max="3"/>
    <col width="18" customWidth="1" min="4" max="4"/>
  </cols>
  <sheetData>
    <row r="1">
      <c r="A1" s="2" t="inlineStr">
        <is>
          <t>펫보험 가입여부 비교 계산기</t>
        </is>
      </c>
    </row>
    <row r="3">
      <c r="A3" s="2" t="inlineStr">
        <is>
          <t>① 보험 조건 입력</t>
        </is>
      </c>
    </row>
    <row r="4">
      <c r="A4" s="3" t="inlineStr">
        <is>
          <t>월 보험료 (원)</t>
        </is>
      </c>
      <c r="B4" s="5" t="n">
        <v>25000</v>
      </c>
    </row>
    <row r="5">
      <c r="A5" s="3" t="inlineStr">
        <is>
          <t>가입 예정 기간 (년)</t>
        </is>
      </c>
      <c r="B5" s="5" t="n">
        <v>10</v>
      </c>
    </row>
    <row r="6">
      <c r="A6" s="3" t="inlineStr">
        <is>
          <t>보장 비율 (%, 자기부담금 제외 실보장률)</t>
        </is>
      </c>
      <c r="B6" s="6" t="n">
        <v>0.7</v>
      </c>
    </row>
    <row r="7">
      <c r="A7" s="3" t="inlineStr">
        <is>
          <t>★ 총 납입액 (원)</t>
        </is>
      </c>
      <c r="B7" s="7">
        <f>B4*12*B5</f>
        <v/>
      </c>
    </row>
    <row r="9">
      <c r="A9" s="2" t="inlineStr">
        <is>
          <t>② 치료비 시나리오 입력</t>
        </is>
      </c>
    </row>
    <row r="10">
      <c r="A10" s="3" t="inlineStr">
        <is>
          <t>무사고 연도 예상 치료비 (연, 원 — 정기검진 수준)</t>
        </is>
      </c>
      <c r="B10" s="5" t="n">
        <v>250000</v>
      </c>
    </row>
    <row r="11">
      <c r="A11" s="3" t="inlineStr">
        <is>
          <t>사고/질병 발생 연도 예상 치료비 (연, 원 — 지출 가구 평균 146만3천원 참고)</t>
        </is>
      </c>
      <c r="B11" s="5" t="n">
        <v>1500000</v>
      </c>
    </row>
    <row r="12">
      <c r="A12" s="3" t="inlineStr">
        <is>
          <t>사고 발생 주기 (가입기간 중 총 몇 회 발생 예상)</t>
        </is>
      </c>
      <c r="B12" s="5" t="n">
        <v>2</v>
      </c>
    </row>
    <row r="14">
      <c r="A14" s="2" t="inlineStr">
        <is>
          <t>③ 시나리오별 비교</t>
        </is>
      </c>
    </row>
    <row r="15">
      <c r="A15" s="8" t="inlineStr">
        <is>
          <t>시나리오</t>
        </is>
      </c>
      <c r="B15" s="8" t="inlineStr">
        <is>
          <t>보험 가입 시 비용(원)</t>
        </is>
      </c>
      <c r="C15" s="8" t="inlineStr">
        <is>
          <t>미가입 시 비용(원)</t>
        </is>
      </c>
      <c r="D15" s="8" t="inlineStr">
        <is>
          <t>차액(미가입-가입, 원)</t>
        </is>
      </c>
    </row>
    <row r="16">
      <c r="A16" s="3" t="inlineStr">
        <is>
          <t>무사고 시나리오 (가입기간 내내 사고 없음)</t>
        </is>
      </c>
      <c r="B16" s="7">
        <f>B7</f>
        <v/>
      </c>
      <c r="C16" s="7">
        <f>B10*B5</f>
        <v/>
      </c>
      <c r="D16" s="7">
        <f>C16-B16</f>
        <v/>
      </c>
    </row>
    <row r="17">
      <c r="A17" s="3" t="inlineStr">
        <is>
          <t>사고 시나리오 (입력한 횟수만큼 치료비 발생)</t>
        </is>
      </c>
      <c r="B17" s="7">
        <f>B7+B11*B12*(1-B6)</f>
        <v/>
      </c>
      <c r="C17" s="7">
        <f>B10*(B5-B12)+B11*B12</f>
        <v/>
      </c>
      <c r="D17" s="7">
        <f>C17-B17</f>
        <v/>
      </c>
    </row>
    <row r="19">
      <c r="A19" s="2" t="inlineStr">
        <is>
          <t>④ 손익분기 분석</t>
        </is>
      </c>
    </row>
    <row r="20">
      <c r="A20" s="3" t="inlineStr">
        <is>
          <t>★★ 손익분기 연간 치료비 (이 금액 이상이면 보험 가입이 유리, 원)</t>
        </is>
      </c>
      <c r="B20" s="7">
        <f>B4*12/B6</f>
        <v/>
      </c>
    </row>
    <row r="21">
      <c r="A21" s="3" t="inlineStr">
        <is>
          <t>★★★ 가입기간 중 손익분기 넘는 사고 발생 최소 횟수</t>
        </is>
      </c>
      <c r="B21" s="7">
        <f>ROUNDUP(B7/(B11*B6),0)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2026-10-13T21:25:27Z</dcterms:created>
  <dcterms:modified xmlns:dcterms="http://purl.org/dc/terms/" xmlns:xsi="http://www.w3.org/2001/XMLSchema-instance" xsi:type="dcterms:W3CDTF">2026-10-13T21:25:27Z</dcterms:modified>
</cp:coreProperties>
</file>