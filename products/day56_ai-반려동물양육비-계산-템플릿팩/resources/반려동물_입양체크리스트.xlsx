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입양전_준비타임라인" sheetId="2" state="visible" r:id="rId2"/>
    <sheet xmlns:r="http://schemas.openxmlformats.org/officeDocument/2006/relationships" name="초기용품_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FF262C3D"/>
      <sz val="14"/>
    </font>
    <font>
      <name val="맑은 고딕"/>
      <b val="1"/>
      <color rgb="FF262C3D"/>
      <sz val="10.5"/>
    </font>
    <font>
      <name val="맑은 고딕"/>
      <color rgb="FF262C3D"/>
      <sz val="10.5"/>
    </font>
    <font>
      <name val="맑은 고딕"/>
      <b val="1"/>
      <color rgb="FFFFFFFF"/>
      <sz val="9.5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B87F1F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3" fontId="3" fillId="0" borderId="0" pivotButton="0" quotePrefix="0" xfId="0"/>
    <xf numFmtId="164" fontId="2" fillId="4" borderId="0" pivotButton="0" quotePrefix="0" xfId="0"/>
    <xf numFmtId="3" fontId="2" fillId="4" borderId="0" pivotButton="0" quotePrefix="0" xfId="0"/>
    <xf numFmtId="3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반려동물 입양 체크리스트</t>
        </is>
      </c>
    </row>
    <row r="4">
      <c r="B4" s="2" t="inlineStr">
        <is>
          <t>⚠ 사용 전 꼭 읽어주세요</t>
        </is>
      </c>
    </row>
    <row r="5">
      <c r="B5" s="3" t="inlineStr">
        <is>
          <t>'입양전_준비타임라인' 시트는 입양 예정일을 입력하면 서류 준비·병원 예약·용품 구매 등 준비 항목의</t>
        </is>
      </c>
    </row>
    <row r="6">
      <c r="B6" s="3" t="inlineStr">
        <is>
          <t>목표 완료일과 D-day를 자동으로 역산합니다. '초기용품_체크리스트' 시트는 품목별 보유 여부·구매</t>
        </is>
      </c>
    </row>
    <row r="7">
      <c r="B7" s="3" t="inlineStr">
        <is>
          <t>여부·예상 가격을 체크하면 신규 구매 합계가 자동으로 계산됩니다.</t>
        </is>
      </c>
    </row>
    <row r="8">
      <c r="B8" s="3" t="inlineStr"/>
    </row>
    <row r="9">
      <c r="B9" s="2" t="inlineStr">
        <is>
          <t>사용법</t>
        </is>
      </c>
    </row>
    <row r="10">
      <c r="B10" s="3" t="inlineStr">
        <is>
          <t>① '입양전_준비타임라인' 시트 B4에 입양 예정일을 입력해 준비 항목별 D-day를 확인합니다.</t>
        </is>
      </c>
    </row>
    <row r="11">
      <c r="B11" s="3" t="inlineStr">
        <is>
          <t>② '초기용품_체크리스트' 시트에서 품목별 보유 여부(드롭다운)를 체크하면 신규 구매가 필요한</t>
        </is>
      </c>
    </row>
    <row r="12">
      <c r="B12" s="3" t="inlineStr">
        <is>
          <t xml:space="preserve">   품목과 합계가 자동으로 뜹니다.</t>
        </is>
      </c>
    </row>
    <row r="13">
      <c r="B13" s="3" t="inlineStr">
        <is>
          <t>③ 이 두 시트와 '반려동물_평생양육비_계산기.xlsx'의 초기비용 입력값을 서로 대조하세요.</t>
        </is>
      </c>
    </row>
    <row r="15">
      <c r="B15" s="4" t="inlineStr">
        <is>
          <t>품목 가격은 일반적인 시세를 참고한 기본값입니다. 실제 구매 전 반드시 펫샵·온라인몰 가격과 대조하세요.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6" customWidth="1" min="4" max="4"/>
  </cols>
  <sheetData>
    <row r="1">
      <c r="A1" s="2" t="inlineStr">
        <is>
          <t>입양 전 준비 타임라인 계산기</t>
        </is>
      </c>
    </row>
    <row r="3">
      <c r="A3" s="2" t="inlineStr">
        <is>
          <t>① 입양 예정일 입력</t>
        </is>
      </c>
    </row>
    <row r="4">
      <c r="A4" s="3" t="inlineStr">
        <is>
          <t>입양 예정일</t>
        </is>
      </c>
      <c r="B4" s="5" t="inlineStr">
        <is>
          <t>2027-02-15</t>
        </is>
      </c>
    </row>
    <row r="6">
      <c r="A6" s="2" t="inlineStr">
        <is>
          <t>② 준비 타임라인 (입양일 기준 역산, 자동 계산)</t>
        </is>
      </c>
    </row>
    <row r="7">
      <c r="A7" s="6" t="inlineStr">
        <is>
          <t>준비 항목</t>
        </is>
      </c>
      <c r="B7" s="6" t="inlineStr">
        <is>
          <t>권장 시점(입양일 기준, 일 전)</t>
        </is>
      </c>
      <c r="C7" s="6" t="inlineStr">
        <is>
          <t>목표 완료일(자동)</t>
        </is>
      </c>
      <c r="D7" s="6" t="inlineStr">
        <is>
          <t>D-day(오늘 기준)</t>
        </is>
      </c>
    </row>
    <row r="8">
      <c r="A8" s="3" t="inlineStr">
        <is>
          <t>입양 경로 결정 (분양/보호소입양) 및 상담</t>
        </is>
      </c>
      <c r="B8" s="7" t="n">
        <v>45</v>
      </c>
      <c r="C8" s="8">
        <f>$B$4-B8</f>
        <v/>
      </c>
      <c r="D8" s="9">
        <f>C8-TODAY()</f>
        <v/>
      </c>
    </row>
    <row r="9">
      <c r="A9" s="3" t="inlineStr">
        <is>
          <t>보호자 동거인 전원 동의·주거 규약 확인</t>
        </is>
      </c>
      <c r="B9" s="7" t="n">
        <v>35</v>
      </c>
      <c r="C9" s="8">
        <f>$B$4-B9</f>
        <v/>
      </c>
      <c r="D9" s="9">
        <f>C9-TODAY()</f>
        <v/>
      </c>
    </row>
    <row r="10">
      <c r="A10" s="3" t="inlineStr">
        <is>
          <t>초기용품(켄넬·식기·배변용품) 구매</t>
        </is>
      </c>
      <c r="B10" s="7" t="n">
        <v>21</v>
      </c>
      <c r="C10" s="8">
        <f>$B$4-B10</f>
        <v/>
      </c>
      <c r="D10" s="9">
        <f>C10-TODAY()</f>
        <v/>
      </c>
    </row>
    <row r="11">
      <c r="A11" s="3" t="inlineStr">
        <is>
          <t>동물병원 사전 상담·건강검진 예약</t>
        </is>
      </c>
      <c r="B11" s="7" t="n">
        <v>14</v>
      </c>
      <c r="C11" s="8">
        <f>$B$4-B11</f>
        <v/>
      </c>
      <c r="D11" s="9">
        <f>C11-TODAY()</f>
        <v/>
      </c>
    </row>
    <row r="12">
      <c r="A12" s="3" t="inlineStr">
        <is>
          <t>예방접종 일정·중성화 상담 예약</t>
        </is>
      </c>
      <c r="B12" s="7" t="n">
        <v>10</v>
      </c>
      <c r="C12" s="8">
        <f>$B$4-B12</f>
        <v/>
      </c>
      <c r="D12" s="9">
        <f>C12-TODAY()</f>
        <v/>
      </c>
    </row>
    <row r="13">
      <c r="A13" s="3" t="inlineStr">
        <is>
          <t>반려동물 등록 준비(동물등록제, 입양 후 30일 이내 의무)</t>
        </is>
      </c>
      <c r="B13" s="7" t="n">
        <v>20</v>
      </c>
      <c r="C13" s="8">
        <f>$B$4-B13</f>
        <v/>
      </c>
      <c r="D13" s="9">
        <f>C13-TODAY()</f>
        <v/>
      </c>
    </row>
    <row r="14">
      <c r="A14" s="3" t="inlineStr">
        <is>
          <t>펫보험 가입 여부 검토</t>
        </is>
      </c>
      <c r="B14" s="7" t="n">
        <v>7</v>
      </c>
      <c r="C14" s="8">
        <f>$B$4-B14</f>
        <v/>
      </c>
      <c r="D14" s="9">
        <f>C14-TODAY()</f>
        <v/>
      </c>
    </row>
    <row r="15">
      <c r="A15" s="3" t="inlineStr">
        <is>
          <t>입양 서류(분양계약서/입양확약서) 최종 확인</t>
        </is>
      </c>
      <c r="B15" s="7" t="n">
        <v>3</v>
      </c>
      <c r="C15" s="8">
        <f>$B$4-B15</f>
        <v/>
      </c>
      <c r="D15" s="9">
        <f>C15-TODAY()</f>
        <v/>
      </c>
    </row>
    <row r="16">
      <c r="A16" s="3" t="inlineStr">
        <is>
          <t>입양 당일 이동장·수건·초기 사료 준비</t>
        </is>
      </c>
      <c r="B16" s="7" t="n">
        <v>1</v>
      </c>
      <c r="C16" s="8">
        <f>$B$4-B16</f>
        <v/>
      </c>
      <c r="D16" s="9">
        <f>C16-TODAY()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2" customWidth="1" min="4" max="4"/>
    <col width="12" customWidth="1" min="5" max="5"/>
    <col width="16" customWidth="1" min="6" max="6"/>
  </cols>
  <sheetData>
    <row r="1">
      <c r="A1" s="2" t="inlineStr">
        <is>
          <t>초기용품 체크리스트</t>
        </is>
      </c>
    </row>
    <row r="3">
      <c r="A3" s="3" t="inlineStr">
        <is>
          <t>품목별 보유 여부·구매 여부 체크 (드롭다운 선택)</t>
        </is>
      </c>
    </row>
    <row r="4">
      <c r="A4" s="6" t="inlineStr">
        <is>
          <t>No</t>
        </is>
      </c>
      <c r="B4" s="6" t="inlineStr">
        <is>
          <t>분류</t>
        </is>
      </c>
      <c r="C4" s="6" t="inlineStr">
        <is>
          <t>품목</t>
        </is>
      </c>
      <c r="D4" s="6" t="inlineStr">
        <is>
          <t>이미 보유</t>
        </is>
      </c>
      <c r="E4" s="6" t="inlineStr">
        <is>
          <t>구매여부</t>
        </is>
      </c>
      <c r="F4" s="6" t="inlineStr">
        <is>
          <t>예상 가격(원)</t>
        </is>
      </c>
    </row>
    <row r="5">
      <c r="A5" s="7" t="n">
        <v>1</v>
      </c>
      <c r="B5" s="3" t="inlineStr">
        <is>
          <t>이동·생활</t>
        </is>
      </c>
      <c r="C5" s="3" t="inlineStr">
        <is>
          <t>이동장(켄넬/하우스)</t>
        </is>
      </c>
      <c r="D5" s="5" t="inlineStr">
        <is>
          <t>아니오</t>
        </is>
      </c>
      <c r="E5" s="5" t="inlineStr">
        <is>
          <t>미완료</t>
        </is>
      </c>
      <c r="F5" s="10" t="n">
        <v>60000</v>
      </c>
    </row>
    <row r="6">
      <c r="A6" s="7" t="n">
        <v>2</v>
      </c>
      <c r="B6" s="3" t="inlineStr">
        <is>
          <t>이동·생활</t>
        </is>
      </c>
      <c r="C6" s="3" t="inlineStr">
        <is>
          <t>식기(사료+물그릇)</t>
        </is>
      </c>
      <c r="D6" s="5" t="inlineStr">
        <is>
          <t>아니오</t>
        </is>
      </c>
      <c r="E6" s="5" t="inlineStr">
        <is>
          <t>미완료</t>
        </is>
      </c>
      <c r="F6" s="10" t="n">
        <v>15000</v>
      </c>
    </row>
    <row r="7">
      <c r="A7" s="7" t="n">
        <v>3</v>
      </c>
      <c r="B7" s="3" t="inlineStr">
        <is>
          <t>이동·생활</t>
        </is>
      </c>
      <c r="C7" s="3" t="inlineStr">
        <is>
          <t>쿠션·방석</t>
        </is>
      </c>
      <c r="D7" s="5" t="inlineStr">
        <is>
          <t>아니오</t>
        </is>
      </c>
      <c r="E7" s="5" t="inlineStr">
        <is>
          <t>미완료</t>
        </is>
      </c>
      <c r="F7" s="10" t="n">
        <v>30000</v>
      </c>
    </row>
    <row r="8">
      <c r="A8" s="7" t="n">
        <v>4</v>
      </c>
      <c r="B8" s="3" t="inlineStr">
        <is>
          <t>배변·위생</t>
        </is>
      </c>
      <c r="C8" s="3" t="inlineStr">
        <is>
          <t>배변패드/화장실·모래</t>
        </is>
      </c>
      <c r="D8" s="5" t="inlineStr">
        <is>
          <t>아니오</t>
        </is>
      </c>
      <c r="E8" s="5" t="inlineStr">
        <is>
          <t>미완료</t>
        </is>
      </c>
      <c r="F8" s="10" t="n">
        <v>25000</v>
      </c>
    </row>
    <row r="9">
      <c r="A9" s="7" t="n">
        <v>5</v>
      </c>
      <c r="B9" s="3" t="inlineStr">
        <is>
          <t>배변·위생</t>
        </is>
      </c>
      <c r="C9" s="3" t="inlineStr">
        <is>
          <t>모래삽/배변봉투</t>
        </is>
      </c>
      <c r="D9" s="5" t="inlineStr">
        <is>
          <t>아니오</t>
        </is>
      </c>
      <c r="E9" s="5" t="inlineStr">
        <is>
          <t>미완료</t>
        </is>
      </c>
      <c r="F9" s="10" t="n">
        <v>8000</v>
      </c>
    </row>
    <row r="10">
      <c r="A10" s="7" t="n">
        <v>6</v>
      </c>
      <c r="B10" s="3" t="inlineStr">
        <is>
          <t>배변·위생</t>
        </is>
      </c>
      <c r="C10" s="3" t="inlineStr">
        <is>
          <t>미용용품(빗·발톱깎이)</t>
        </is>
      </c>
      <c r="D10" s="5" t="inlineStr">
        <is>
          <t>아니오</t>
        </is>
      </c>
      <c r="E10" s="5" t="inlineStr">
        <is>
          <t>미완료</t>
        </is>
      </c>
      <c r="F10" s="10" t="n">
        <v>20000</v>
      </c>
    </row>
    <row r="11">
      <c r="A11" s="7" t="n">
        <v>7</v>
      </c>
      <c r="B11" s="3" t="inlineStr">
        <is>
          <t>외출·안전</t>
        </is>
      </c>
      <c r="C11" s="3" t="inlineStr">
        <is>
          <t>리드줄·하네스/이동가방</t>
        </is>
      </c>
      <c r="D11" s="5" t="inlineStr">
        <is>
          <t>아니오</t>
        </is>
      </c>
      <c r="E11" s="5" t="inlineStr">
        <is>
          <t>미완료</t>
        </is>
      </c>
      <c r="F11" s="10" t="n">
        <v>35000</v>
      </c>
    </row>
    <row r="12">
      <c r="A12" s="7" t="n">
        <v>8</v>
      </c>
      <c r="B12" s="3" t="inlineStr">
        <is>
          <t>외출·안전</t>
        </is>
      </c>
      <c r="C12" s="3" t="inlineStr">
        <is>
          <t>인식표·안전장치</t>
        </is>
      </c>
      <c r="D12" s="5" t="inlineStr">
        <is>
          <t>아니오</t>
        </is>
      </c>
      <c r="E12" s="5" t="inlineStr">
        <is>
          <t>미완료</t>
        </is>
      </c>
      <c r="F12" s="10" t="n">
        <v>10000</v>
      </c>
    </row>
    <row r="13">
      <c r="A13" s="7" t="n">
        <v>9</v>
      </c>
      <c r="B13" s="3" t="inlineStr">
        <is>
          <t>식사·건강</t>
        </is>
      </c>
      <c r="C13" s="3" t="inlineStr">
        <is>
          <t>초기 사료(1개월분)</t>
        </is>
      </c>
      <c r="D13" s="5" t="inlineStr">
        <is>
          <t>아니오</t>
        </is>
      </c>
      <c r="E13" s="5" t="inlineStr">
        <is>
          <t>미완료</t>
        </is>
      </c>
      <c r="F13" s="10" t="n">
        <v>40000</v>
      </c>
    </row>
    <row r="14">
      <c r="A14" s="7" t="n">
        <v>10</v>
      </c>
      <c r="B14" s="3" t="inlineStr">
        <is>
          <t>식사·건강</t>
        </is>
      </c>
      <c r="C14" s="3" t="inlineStr">
        <is>
          <t>영양제·간식</t>
        </is>
      </c>
      <c r="D14" s="5" t="inlineStr">
        <is>
          <t>아니오</t>
        </is>
      </c>
      <c r="E14" s="5" t="inlineStr">
        <is>
          <t>미완료</t>
        </is>
      </c>
      <c r="F14" s="10" t="n">
        <v>20000</v>
      </c>
    </row>
    <row r="15">
      <c r="A15" s="7" t="n">
        <v>11</v>
      </c>
      <c r="B15" s="3" t="inlineStr">
        <is>
          <t>놀이·훈련</t>
        </is>
      </c>
      <c r="C15" s="3" t="inlineStr">
        <is>
          <t>장난감 세트</t>
        </is>
      </c>
      <c r="D15" s="5" t="inlineStr">
        <is>
          <t>아니오</t>
        </is>
      </c>
      <c r="E15" s="5" t="inlineStr">
        <is>
          <t>미완료</t>
        </is>
      </c>
      <c r="F15" s="10" t="n">
        <v>25000</v>
      </c>
    </row>
    <row r="16">
      <c r="A16" s="7" t="n">
        <v>12</v>
      </c>
      <c r="B16" s="3" t="inlineStr">
        <is>
          <t>놀이·훈련</t>
        </is>
      </c>
      <c r="C16" s="3" t="inlineStr">
        <is>
          <t>훈련용 간식·클리커</t>
        </is>
      </c>
      <c r="D16" s="5" t="inlineStr">
        <is>
          <t>아니오</t>
        </is>
      </c>
      <c r="E16" s="5" t="inlineStr">
        <is>
          <t>미완료</t>
        </is>
      </c>
      <c r="F16" s="10" t="n">
        <v>12000</v>
      </c>
    </row>
    <row r="18">
      <c r="A18" s="3" t="inlineStr">
        <is>
          <t>★ 신규 구매 필요 품목 합계 (원, '아니오'로 체크된 품목만)</t>
        </is>
      </c>
      <c r="F18" s="9">
        <f>SUMIF(D5:D16,"아니오",F5:F16)</f>
        <v/>
      </c>
    </row>
    <row r="19">
      <c r="A19" s="3" t="inlineStr">
        <is>
          <t>★★ 전체 품목 합계 (원, 참고용)</t>
        </is>
      </c>
      <c r="F19" s="9">
        <f>SUM(F5:F16)</f>
        <v/>
      </c>
    </row>
  </sheetData>
  <dataValidations count="2">
    <dataValidation sqref="D5:D16" showDropDown="0" showInputMessage="0" showErrorMessage="0" allowBlank="1" type="list">
      <formula1>"예,아니오"</formula1>
    </dataValidation>
    <dataValidation sqref="E5:E16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2026-10-13T21:25:27Z</dcterms:created>
  <dcterms:modified xmlns:dcterms="http://purl.org/dc/terms/" xmlns:xsi="http://www.w3.org/2001/XMLSchema-instance" xsi:type="dcterms:W3CDTF">2026-10-13T21:25:27Z</dcterms:modified>
</cp:coreProperties>
</file>