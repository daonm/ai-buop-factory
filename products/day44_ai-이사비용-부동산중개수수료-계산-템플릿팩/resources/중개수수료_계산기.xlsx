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기" sheetId="1" state="visible" r:id="rId1"/>
    <sheet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262C3D"/>
      <sz val="13"/>
    </font>
    <font>
      <b val="1"/>
      <color rgb="00262C3D"/>
    </font>
    <font>
      <b val="1"/>
      <color rgb="FFFFFFFF"/>
    </font>
    <font>
      <color rgb="00262C3D"/>
    </font>
    <font>
      <i val="1"/>
      <color rgb="00565F72"/>
      <sz val="10"/>
    </font>
    <font>
      <color rgb="00565F72"/>
      <sz val="10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4" fillId="3" borderId="0" pivotButton="0" quotePrefix="0" xfId="0"/>
    <xf numFmtId="3" fontId="4" fillId="3" borderId="0" pivotButton="0" quotePrefix="0" xfId="0"/>
    <xf numFmtId="3" fontId="2" fillId="4" borderId="0" pivotButton="0" quotePrefix="0" xfId="0"/>
    <xf numFmtId="10" fontId="4" fillId="4" borderId="0" pivotButton="0" quotePrefix="0" xfId="0"/>
    <xf numFmtId="3" fontId="4" fillId="4" borderId="0" pivotButton="0" quotePrefix="0" xfId="0"/>
    <xf numFmtId="0" fontId="2" fillId="4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28" customWidth="1" min="4" max="4"/>
  </cols>
  <sheetData>
    <row r="1">
      <c r="A1" s="1" t="inlineStr">
        <is>
          <t>부동산 중개수수료 계산기 (법정 상한 요율 기준)</t>
        </is>
      </c>
    </row>
    <row r="3">
      <c r="A3" s="2" t="inlineStr">
        <is>
          <t>① 매매 법정 상한 요율표</t>
        </is>
      </c>
    </row>
    <row r="4">
      <c r="A4" s="3" t="inlineStr">
        <is>
          <t>거래금액 구간</t>
        </is>
      </c>
      <c r="B4" s="3" t="inlineStr">
        <is>
          <t>상한 요율</t>
        </is>
      </c>
      <c r="C4" s="3" t="inlineStr">
        <is>
          <t>비고</t>
        </is>
      </c>
    </row>
    <row r="5">
      <c r="A5" t="inlineStr">
        <is>
          <t>5천만원 미만</t>
        </is>
      </c>
      <c r="B5" s="4" t="n">
        <v>0.006</v>
      </c>
      <c r="C5" t="inlineStr">
        <is>
          <t>한도액 적용 가능 — 공식 계산기 교차확인</t>
        </is>
      </c>
    </row>
    <row r="6">
      <c r="A6" t="inlineStr">
        <is>
          <t>5천만원~2억원 미만</t>
        </is>
      </c>
      <c r="B6" s="4" t="n">
        <v>0.005</v>
      </c>
      <c r="C6" t="inlineStr">
        <is>
          <t>한도액 적용 가능 — 공식 계산기 교차확인</t>
        </is>
      </c>
    </row>
    <row r="7">
      <c r="A7" t="inlineStr">
        <is>
          <t>2억원~9억원 미만</t>
        </is>
      </c>
      <c r="B7" s="4" t="n">
        <v>0.004</v>
      </c>
      <c r="C7" t="inlineStr"/>
    </row>
    <row r="8">
      <c r="A8" t="inlineStr">
        <is>
          <t>9억원~12억원 미만</t>
        </is>
      </c>
      <c r="B8" s="4" t="n">
        <v>0.005</v>
      </c>
      <c r="C8" t="inlineStr"/>
    </row>
    <row r="9">
      <c r="A9" t="inlineStr">
        <is>
          <t>12억원~15억원 미만</t>
        </is>
      </c>
      <c r="B9" s="4" t="n">
        <v>0.006</v>
      </c>
      <c r="C9" t="inlineStr"/>
    </row>
    <row r="10">
      <c r="A10" t="inlineStr">
        <is>
          <t>15억원 이상</t>
        </is>
      </c>
      <c r="B10" s="4" t="n">
        <v>0.007</v>
      </c>
      <c r="C10" t="inlineStr"/>
    </row>
    <row r="12">
      <c r="A12" s="2" t="inlineStr">
        <is>
          <t>② 임대차(전세·월세) 법정 상한 요율표</t>
        </is>
      </c>
    </row>
    <row r="13">
      <c r="A13" s="3" t="inlineStr">
        <is>
          <t>거래금액(환산보증금) 구간</t>
        </is>
      </c>
      <c r="B13" s="3" t="inlineStr">
        <is>
          <t>상한 요율</t>
        </is>
      </c>
      <c r="C13" s="3" t="inlineStr">
        <is>
          <t>비고</t>
        </is>
      </c>
    </row>
    <row r="14">
      <c r="A14" t="inlineStr">
        <is>
          <t>5천만원 미만</t>
        </is>
      </c>
      <c r="B14" s="4" t="n">
        <v>0.005</v>
      </c>
      <c r="C14" t="inlineStr">
        <is>
          <t>한도액 적용 가능 — 공식 계산기 교차확인</t>
        </is>
      </c>
    </row>
    <row r="15">
      <c r="A15" t="inlineStr">
        <is>
          <t>5천만원~1억원 미만</t>
        </is>
      </c>
      <c r="B15" s="4" t="n">
        <v>0.004</v>
      </c>
      <c r="C15" t="inlineStr"/>
    </row>
    <row r="16">
      <c r="A16" t="inlineStr">
        <is>
          <t>1억원~3억원 미만</t>
        </is>
      </c>
      <c r="B16" s="4" t="n">
        <v>0.003</v>
      </c>
      <c r="C16" t="inlineStr"/>
    </row>
    <row r="17">
      <c r="A17" t="inlineStr">
        <is>
          <t>3억원~6억원 미만</t>
        </is>
      </c>
      <c r="B17" s="4" t="n">
        <v>0.004</v>
      </c>
      <c r="C17" t="inlineStr"/>
    </row>
    <row r="18">
      <c r="A18" t="inlineStr">
        <is>
          <t>6억원 이상</t>
        </is>
      </c>
      <c r="B18" s="4" t="n">
        <v>0.008</v>
      </c>
      <c r="C18" t="inlineStr"/>
    </row>
    <row r="21">
      <c r="A21" s="2" t="inlineStr">
        <is>
          <t>③ 거래 조건 입력</t>
        </is>
      </c>
    </row>
    <row r="22">
      <c r="A22" s="5" t="inlineStr">
        <is>
          <t>거래 종류 (매매 / 전세 / 월세)</t>
        </is>
      </c>
      <c r="B22" s="6" t="inlineStr">
        <is>
          <t>전세</t>
        </is>
      </c>
    </row>
    <row r="23">
      <c r="A23" s="5" t="inlineStr">
        <is>
          <t>거래금액(매매·전세) 또는 보증금(월세, 원)</t>
        </is>
      </c>
      <c r="B23" s="7" t="n">
        <v>300000000</v>
      </c>
    </row>
    <row r="24">
      <c r="A24" s="5" t="inlineStr">
        <is>
          <t>월세 (월세 계약인 경우만 입력, 원 — 전세·매매는 0)</t>
        </is>
      </c>
      <c r="B24" s="7" t="n">
        <v>0</v>
      </c>
    </row>
    <row r="25">
      <c r="A25" s="5" t="inlineStr">
        <is>
          <t>중개사 부가세 적용 여부 (적용 / 미적용)</t>
        </is>
      </c>
      <c r="B25" s="6" t="inlineStr">
        <is>
          <t>적용</t>
        </is>
      </c>
    </row>
    <row r="26">
      <c r="A26" s="5" t="inlineStr">
        <is>
          <t>실제 청구받은 중개수수료(비교용, 원 — 없으면 0)</t>
        </is>
      </c>
      <c r="B26" s="7" t="n">
        <v>0</v>
      </c>
    </row>
    <row r="28">
      <c r="A28" s="2" t="inlineStr">
        <is>
          <t>④ 계산 결과</t>
        </is>
      </c>
    </row>
    <row r="29">
      <c r="A29" t="inlineStr">
        <is>
          <t>환산보증금 (월세 계약: 보증금+월세×100 / 매매·전세: 거래금액 그대로)</t>
        </is>
      </c>
      <c r="B29" s="8">
        <f>IF(B22="월세",B23+B24*100,B23)</f>
        <v/>
      </c>
    </row>
    <row r="30">
      <c r="A30" t="inlineStr">
        <is>
          <t>적용 요율 (거래 종류·금액 구간에 따라 위 요율표 자동 적용)</t>
        </is>
      </c>
      <c r="B30" s="9">
        <f>IF(B22="매매",IF(B29&lt;50000000,0.006,IF(B29&lt;200000000,0.005,IF(B29&lt;900000000,0.004,IF(B29&lt;1200000000,0.005,IF(B29&lt;1500000000,0.006,0.007))))),IF(B29&lt;50000000,0.005,IF(B29&lt;100000000,0.004,IF(B29&lt;300000000,0.003,IF(B29&lt;600000000,0.004,0.008)))))</f>
        <v/>
      </c>
    </row>
    <row r="31">
      <c r="A31" t="inlineStr">
        <is>
          <t>법정 상한 중개수수료 (부가세 전, 환산보증금 × 적용요율)</t>
        </is>
      </c>
      <c r="B31" s="10">
        <f>B29*B30</f>
        <v/>
      </c>
    </row>
    <row r="32">
      <c r="A32" t="inlineStr">
        <is>
          <t>부가세 (10%, 적용 시에만)</t>
        </is>
      </c>
      <c r="B32" s="10">
        <f>IF(B25="적용",B31*0.1,0)</f>
        <v/>
      </c>
    </row>
    <row r="33">
      <c r="A33" t="inlineStr">
        <is>
          <t>법정 상한 중개수수료 (부가세 포함, 최종)</t>
        </is>
      </c>
      <c r="B33" s="8">
        <f>B31+B32</f>
        <v/>
      </c>
    </row>
    <row r="34">
      <c r="A34" t="inlineStr">
        <is>
          <t>실제 청구액과의 차이 (실제청구−법정상한, 양수면 초과청구 의심)</t>
        </is>
      </c>
      <c r="B34" s="11">
        <f>IF(B26=0,"비교값 미입력",B26-B33)</f>
        <v/>
      </c>
    </row>
    <row r="36">
      <c r="A36" s="12" t="inlineStr">
        <is>
          <t>참고</t>
        </is>
      </c>
    </row>
    <row r="37">
      <c r="A37" s="13" t="inlineStr">
        <is>
          <t>이 계산기는 법정 상한 요율을 정확히 계산하는 도구이며, 실제 지급액은 중개사와 협의해 상한선 이하로 정할 수 있습니다. 저가 구간은 한도액(정액 상한)이 별도 적용될 수 있어 myhome.go.kr 공식 계산기와 함께 확인하세요.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부동산 중개수수료 계산기</t>
        </is>
      </c>
    </row>
    <row r="4">
      <c r="B4" s="2" t="inlineStr">
        <is>
          <t>⚠ 사용 전 꼭 읽어주세요</t>
        </is>
      </c>
    </row>
    <row r="5">
      <c r="B5" s="13" t="inlineStr">
        <is>
          <t>본 계산기는 법정 상한 중개수수료(요율 기준)를 계산하는 도구입니다. 특정 중개사와의 협의 금액을 대신 정해주는 것이 아닙니다.</t>
        </is>
      </c>
    </row>
    <row r="6">
      <c r="B6" s="13" t="inlineStr">
        <is>
          <t>요율표는 국토교통부 공인중개사법 시행규칙 기준 요율이며, 저가 구간은 별도 한도액(정액 상한)이 함께 적용될 수 있습니다. 반드시 myhome.go.kr 공식 계산기와 교차확인하세요. (기준: 2026년 9월 확인)</t>
        </is>
      </c>
    </row>
    <row r="8">
      <c r="B8" s="2" t="inlineStr">
        <is>
          <t>사용법</t>
        </is>
      </c>
    </row>
    <row r="9">
      <c r="B9" s="13" t="inlineStr">
        <is>
          <t>① '계산기' 시트에서 거래 종류(매매/전세/월세)를 선택</t>
        </is>
      </c>
    </row>
    <row r="10">
      <c r="B10" s="13" t="inlineStr">
        <is>
          <t>② 노란색 칸에 거래금액(또는 보증금·월세), 부가세 적용 여부를 입력</t>
        </is>
      </c>
    </row>
    <row r="11">
      <c r="B11" s="13" t="inlineStr">
        <is>
          <t>③ 올리브색 칸에서 환산보증금 → 적용 요율 → 법정 상한 중개수수료(부가세 포함)까지 자동 계산</t>
        </is>
      </c>
    </row>
    <row r="12">
      <c r="B12" s="13" t="inlineStr">
        <is>
          <t>④ 실제 청구받은 금액이 있다면 '실제 청구받은 중개수수료' 칸에 입력해 차이를 바로 비교</t>
        </is>
      </c>
    </row>
    <row r="14">
      <c r="B14" s="13" t="inlineStr">
        <is>
          <t>중개수수료 '요율'은 상한선입니다. 계산 결과는 '최대 얼마까지가 적법한지' 기준이며, 협상 여지가 있다는 점을 의뢰인에게 함께 안내하세요.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2026-10-01T21:25:45Z</dcterms:created>
  <dcterms:modified xsi:type="dcterms:W3CDTF">2026-10-01T21:25:45Z</dcterms:modified>
</cp:coreProperties>
</file>