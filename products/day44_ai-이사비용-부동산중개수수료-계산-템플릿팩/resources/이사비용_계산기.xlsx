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계산기" sheetId="1" state="visible" r:id="rId1"/>
    <sheet name="안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262C3D"/>
      <sz val="13"/>
    </font>
    <font>
      <b val="1"/>
      <color rgb="00262C3D"/>
    </font>
    <font>
      <b val="1"/>
      <color rgb="FFFFFFFF"/>
    </font>
    <font>
      <color rgb="00262C3D"/>
    </font>
    <font>
      <i val="1"/>
      <color rgb="00565F72"/>
      <sz val="10"/>
    </font>
    <font>
      <color rgb="00565F72"/>
      <sz val="10"/>
    </font>
  </fonts>
  <fills count="5">
    <fill>
      <patternFill/>
    </fill>
    <fill>
      <patternFill patternType="gray125"/>
    </fill>
    <fill>
      <patternFill patternType="solid">
        <fgColor rgb="00B87F1F"/>
      </patternFill>
    </fill>
    <fill>
      <patternFill patternType="solid">
        <fgColor rgb="00FFF6D9"/>
      </patternFill>
    </fill>
    <fill>
      <patternFill patternType="solid">
        <fgColor rgb="00E3E6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3" fontId="0" fillId="0" borderId="0" pivotButton="0" quotePrefix="0" xfId="0"/>
    <xf numFmtId="0" fontId="4" fillId="0" borderId="0" pivotButton="0" quotePrefix="0" xfId="0"/>
    <xf numFmtId="0" fontId="4" fillId="3" borderId="0" pivotButton="0" quotePrefix="0" xfId="0"/>
    <xf numFmtId="3" fontId="2" fillId="4" borderId="0" pivotButton="0" quotePrefix="0" xfId="0"/>
    <xf numFmtId="3" fontId="4" fillId="4" borderId="0" pivotButton="0" quotePrefix="0" xfId="0"/>
    <xf numFmtId="2" fontId="4" fillId="4" borderId="0" pivotButton="0" quotePrefix="0" xfId="0"/>
    <xf numFmtId="0" fontId="4" fillId="4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  <col width="20" customWidth="1" min="3" max="3"/>
    <col width="24" customWidth="1" min="4" max="4"/>
  </cols>
  <sheetData>
    <row r="1">
      <c r="A1" s="1" t="inlineStr">
        <is>
          <t>이사 비용 계산기</t>
        </is>
      </c>
    </row>
    <row r="3">
      <c r="A3" s="2" t="inlineStr">
        <is>
          <t>① 평수별 기준가 참고표 (포장이사 기준, 전국 평균 감각)</t>
        </is>
      </c>
    </row>
    <row r="4">
      <c r="A4" s="3" t="inlineStr">
        <is>
          <t>평수 구간</t>
        </is>
      </c>
      <c r="B4" s="3" t="inlineStr">
        <is>
          <t>추천 톤수</t>
        </is>
      </c>
      <c r="C4" s="3" t="inlineStr">
        <is>
          <t>포장이사 기준가(원)</t>
        </is>
      </c>
      <c r="D4" s="3" t="inlineStr">
        <is>
          <t>비고</t>
        </is>
      </c>
    </row>
    <row r="5">
      <c r="A5" t="inlineStr">
        <is>
          <t>~15평(원룸)</t>
        </is>
      </c>
      <c r="B5" t="inlineStr">
        <is>
          <t>1톤</t>
        </is>
      </c>
      <c r="C5" s="4" t="n">
        <v>500000</v>
      </c>
      <c r="D5" t="inlineStr">
        <is>
          <t>1인 가구, 원룸~오피스텔</t>
        </is>
      </c>
    </row>
    <row r="6">
      <c r="A6" t="inlineStr">
        <is>
          <t>16~24평(투룸)</t>
        </is>
      </c>
      <c r="B6" t="inlineStr">
        <is>
          <t>2.5톤</t>
        </is>
      </c>
      <c r="C6" s="4" t="n">
        <v>650000</v>
      </c>
      <c r="D6" t="inlineStr">
        <is>
          <t>투룸~쓰리룸 초입</t>
        </is>
      </c>
    </row>
    <row r="7">
      <c r="A7" t="inlineStr">
        <is>
          <t>25~34평(쓰리룸)</t>
        </is>
      </c>
      <c r="B7" t="inlineStr">
        <is>
          <t>2.5~5톤</t>
        </is>
      </c>
      <c r="C7" s="4" t="n">
        <v>800000</v>
      </c>
      <c r="D7" t="inlineStr">
        <is>
          <t>쓰리룸~대형 투룸</t>
        </is>
      </c>
    </row>
    <row r="8">
      <c r="A8" t="inlineStr">
        <is>
          <t>35평 이상(4룸+)</t>
        </is>
      </c>
      <c r="B8" t="inlineStr">
        <is>
          <t>5톤</t>
        </is>
      </c>
      <c r="C8" s="4" t="n">
        <v>950000</v>
      </c>
      <c r="D8" t="inlineStr">
        <is>
          <t>4룸 이상, 대가구</t>
        </is>
      </c>
    </row>
    <row r="10">
      <c r="A10" s="2" t="inlineStr">
        <is>
          <t>② 이사 조건 입력</t>
        </is>
      </c>
    </row>
    <row r="11">
      <c r="A11" s="5" t="inlineStr">
        <is>
          <t>평수 구간 (위 표에서 그대로 선택)</t>
        </is>
      </c>
      <c r="B11" s="6" t="inlineStr">
        <is>
          <t>25~34평(쓰리룸)</t>
        </is>
      </c>
    </row>
    <row r="12">
      <c r="A12" s="5" t="inlineStr">
        <is>
          <t>이사 방식 (포장이사 / 반포장이사 / 일반이사)</t>
        </is>
      </c>
      <c r="B12" s="6" t="inlineStr">
        <is>
          <t>포장이사</t>
        </is>
      </c>
    </row>
    <row r="13">
      <c r="A13" s="5" t="inlineStr">
        <is>
          <t>이동 거리(km)</t>
        </is>
      </c>
      <c r="B13" s="6" t="n">
        <v>20</v>
      </c>
    </row>
    <row r="14">
      <c r="A14" s="5" t="inlineStr">
        <is>
          <t>엘리베이터 유무 (있음 / 없음)</t>
        </is>
      </c>
      <c r="B14" s="6" t="inlineStr">
        <is>
          <t>있음</t>
        </is>
      </c>
    </row>
    <row r="15">
      <c r="A15" s="5" t="inlineStr">
        <is>
          <t>사다리차 필요 여부 (필요 / 불필요)</t>
        </is>
      </c>
      <c r="B15" s="6" t="inlineStr">
        <is>
          <t>불필요</t>
        </is>
      </c>
    </row>
    <row r="16">
      <c r="A16" s="5" t="inlineStr">
        <is>
          <t>이사 날짜 유형 (평일 / 주말·월말 / 손없는날(평일) / 손없는날(주말))</t>
        </is>
      </c>
      <c r="B16" s="6" t="inlineStr">
        <is>
          <t>평일</t>
        </is>
      </c>
    </row>
    <row r="17">
      <c r="A17" s="5" t="inlineStr">
        <is>
          <t>시기 구분 (성수기 2~4월·9~11월 / 비수기)</t>
        </is>
      </c>
      <c r="B17" s="6" t="inlineStr">
        <is>
          <t>비수기</t>
        </is>
      </c>
    </row>
    <row r="19">
      <c r="A19" s="2" t="inlineStr">
        <is>
          <t>③ 계산 결과</t>
        </is>
      </c>
    </row>
    <row r="20">
      <c r="A20" t="inlineStr">
        <is>
          <t>기준가 (평수 구간 기준, 위 표 VLOOKUP)</t>
        </is>
      </c>
      <c r="B20" s="7">
        <f>VLOOKUP(B11,A5:D8,3,FALSE)</f>
        <v/>
      </c>
    </row>
    <row r="21">
      <c r="A21" t="inlineStr">
        <is>
          <t>거리 할증 (10km 이내 0 / 10~30km +5만 / 30~50km +10만 / 50km 초과 +15만)</t>
        </is>
      </c>
      <c r="B21" s="8">
        <f>IF(B13&lt;=10,0,IF(B13&lt;=30,50000,IF(B13&lt;=50,100000,150000)))</f>
        <v/>
      </c>
    </row>
    <row r="22">
      <c r="A22" t="inlineStr">
        <is>
          <t>작업 난이도 할증 (엘리베이터 없음 +8만 / 사다리차 필요 +5만)</t>
        </is>
      </c>
      <c r="B22" s="8">
        <f>IF(B14="없음",80000,0)+IF(B15="필요",50000,0)</f>
        <v/>
      </c>
    </row>
    <row r="23">
      <c r="A23" t="inlineStr">
        <is>
          <t>이사 방식 조정 (포장이사 0 / 반포장이사 −12.5만 / 일반이사 −25만)</t>
        </is>
      </c>
      <c r="B23" s="8">
        <f>IF(B12="반포장이사",-125000,IF(B12="일반이사",-250000,0))</f>
        <v/>
      </c>
    </row>
    <row r="24">
      <c r="A24" t="inlineStr">
        <is>
          <t>기본 비용 소계 (기준가+거리할증+난이도할증+방식조정)</t>
        </is>
      </c>
      <c r="B24" s="7">
        <f>B20+B21+B22+B23</f>
        <v/>
      </c>
    </row>
    <row r="25">
      <c r="A25" t="inlineStr">
        <is>
          <t>날짜 프리미엄 배율 (평일 1.00 / 주말·월말 1.10 / 손없는날평일 1.20 / 손없는날주말 1.35)</t>
        </is>
      </c>
      <c r="B25" s="9">
        <f>IF(B16="손없는날(주말)",1.35,IF(B16="손없는날(평일)",1.2,IF(B16="주말·월말",1.1,1)))</f>
        <v/>
      </c>
    </row>
    <row r="26">
      <c r="A26" t="inlineStr">
        <is>
          <t>성수기 할증 배율 (성수기 1.20 / 비수기 1.00)</t>
        </is>
      </c>
      <c r="B26" s="9">
        <f>IF(B17="성수기",1.2,1)</f>
        <v/>
      </c>
    </row>
    <row r="27">
      <c r="A27" t="inlineStr">
        <is>
          <t>최종 예상 비용 (소계 × 날짜배율 × 성수기배율)</t>
        </is>
      </c>
      <c r="B27" s="7">
        <f>B24*B25*B26</f>
        <v/>
      </c>
    </row>
    <row r="28">
      <c r="A28" t="inlineStr">
        <is>
          <t>예상 비용 범위 (±10%, 리포트에 이 범위로 안내 권장)</t>
        </is>
      </c>
      <c r="B28" s="10">
        <f>TEXT(B27*0.9,"#,##0")&amp;"원 ~ "&amp;TEXT(B27*1.1,"#,##0")&amp;"원"</f>
        <v/>
      </c>
    </row>
    <row r="30">
      <c r="A30" s="11" t="inlineStr">
        <is>
          <t>참고</t>
        </is>
      </c>
    </row>
    <row r="31">
      <c r="A31" s="12" t="inlineStr">
        <is>
          <t>이 계산기는 일반적 시장 감각을 바탕으로 한 참고용 추정치이며, 특정 업체의 확정 견적이 아닙니다. 실제 업체 견적과 반드시 비교하세요.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B14"/>
  <sheetViews>
    <sheetView workbookViewId="0">
      <selection activeCell="A1" sqref="A1"/>
    </sheetView>
  </sheetViews>
  <sheetFormatPr baseColWidth="8" defaultRowHeight="15"/>
  <cols>
    <col width="3" customWidth="1" min="1" max="1"/>
    <col width="92" customWidth="1" min="2" max="2"/>
  </cols>
  <sheetData>
    <row r="2">
      <c r="B2" s="1" t="inlineStr">
        <is>
          <t>이사 비용 계산기</t>
        </is>
      </c>
    </row>
    <row r="4">
      <c r="B4" s="2" t="inlineStr">
        <is>
          <t>⚠ 사용 전 꼭 읽어주세요</t>
        </is>
      </c>
    </row>
    <row r="5">
      <c r="B5" s="12" t="inlineStr">
        <is>
          <t>본 계산기는 평수·거리·날짜 조건을 바탕으로 이사 비용의 일반적 참고 범위를 계산하는 도구입니다. 특정 업체의 확정 견적이 아닙니다.</t>
        </is>
      </c>
    </row>
    <row r="6">
      <c r="B6" s="12" t="inlineStr">
        <is>
          <t>할증 기준(거리·날짜·성수기)은 전국 평균 감각이며, 지역·업체·예약 상황에 따라 실제 비용은 달라질 수 있습니다. (기준: 2026년 9월 확인)</t>
        </is>
      </c>
    </row>
    <row r="8">
      <c r="B8" s="2" t="inlineStr">
        <is>
          <t>사용법</t>
        </is>
      </c>
    </row>
    <row r="9">
      <c r="B9" s="12" t="inlineStr">
        <is>
          <t>① '계산기' 시트의 평수별 기준가 참고표에서 이사할 집의 평수 구간을 확인</t>
        </is>
      </c>
    </row>
    <row r="10">
      <c r="B10" s="12" t="inlineStr">
        <is>
          <t>② 노란색 칸에 평수 구간, 이사 방식, 이동 거리, 엘리베이터·사다리차 여부, 날짜 유형, 성수기 여부를 입력</t>
        </is>
      </c>
    </row>
    <row r="11">
      <c r="B11" s="12" t="inlineStr">
        <is>
          <t>③ 올리브색 칸에서 기준가 → 할증 항목별 금액 → 최종 예상 비용과 비용 범위까지 자동 계산</t>
        </is>
      </c>
    </row>
    <row r="12">
      <c r="B12" s="12" t="inlineStr">
        <is>
          <t>④ 실제 받은 견적서가 있다면 '견적서_비교_검증표.xlsx'에 옮겨 적어 이 예상 범위와 교차검증</t>
        </is>
      </c>
    </row>
    <row r="14">
      <c r="B14" s="12" t="inlineStr">
        <is>
          <t>예상 비용은 '이 조건이면 이 가격대가 합리적이다'라는 참고치입니다. 성수기·손없는날 여부에 따라 범위가 크게 달라질 수 있다는 점을 의뢰인에게 항상 함께 안내하세요.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2026-10-01T21:25:45Z</dcterms:created>
  <dcterms:modified xsi:type="dcterms:W3CDTF">2026-10-01T21:25:45Z</dcterms:modified>
</cp:coreProperties>
</file>