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크리스트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color rgb="00262C3D"/>
    </font>
    <font>
      <color rgb="00565F72"/>
      <sz val="10"/>
    </font>
    <font>
      <b val="1"/>
      <color rgb="FFFFFFFF"/>
    </font>
    <font>
      <color rgb="00565F72"/>
    </font>
    <font>
      <i val="1"/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</cols>
  <sheetData>
    <row r="1">
      <c r="A1" s="1" t="inlineStr">
        <is>
          <t>전입신고·확정일자·전월세신고 체크리스트</t>
        </is>
      </c>
    </row>
    <row r="3">
      <c r="A3" s="2" t="inlineStr">
        <is>
          <t>① 계약 정보 입력</t>
        </is>
      </c>
    </row>
    <row r="4">
      <c r="A4" s="3" t="inlineStr">
        <is>
          <t>이사일</t>
        </is>
      </c>
      <c r="B4" s="4" t="inlineStr">
        <is>
          <t>2026-11-01</t>
        </is>
      </c>
    </row>
    <row r="5">
      <c r="A5" s="3" t="inlineStr">
        <is>
          <t>계약일</t>
        </is>
      </c>
      <c r="B5" s="4" t="inlineStr">
        <is>
          <t>2026-10-01</t>
        </is>
      </c>
    </row>
    <row r="6">
      <c r="A6" s="3" t="inlineStr">
        <is>
          <t>보증금(원)</t>
        </is>
      </c>
      <c r="B6" s="5" t="n">
        <v>300000000</v>
      </c>
    </row>
    <row r="7">
      <c r="A7" s="3" t="inlineStr">
        <is>
          <t>월세(원, 전세면 0)</t>
        </is>
      </c>
      <c r="B7" s="5" t="n">
        <v>0</v>
      </c>
    </row>
    <row r="9">
      <c r="A9" s="6" t="inlineStr">
        <is>
          <t>※ 이사일·계약일은 "YYYY-MM-DD" 형식의 텍스트로 입력하세요 (날짜 서식 자동변환 불필요).</t>
        </is>
      </c>
    </row>
    <row r="11">
      <c r="A11" s="2" t="inlineStr">
        <is>
          <t>② 자동 계산 결과</t>
        </is>
      </c>
    </row>
    <row r="12">
      <c r="A12" t="inlineStr">
        <is>
          <t>전입신고 법정 마감일 (이사일+14일)</t>
        </is>
      </c>
      <c r="B12" s="7">
        <f>TEXT(DATEVALUE(B4)+14,"YYYY-MM-DD")</f>
        <v/>
      </c>
    </row>
    <row r="13">
      <c r="A13" t="inlineStr">
        <is>
          <t>확정일자 권장일 (이사 당일, 전입신고와 같은 날)</t>
        </is>
      </c>
      <c r="B13" s="7">
        <f>B4</f>
        <v/>
      </c>
    </row>
    <row r="14">
      <c r="A14" t="inlineStr">
        <is>
          <t>전월세신고 대상 여부 (보증금 6천만원 초과 또는 월세 30만원 초과)</t>
        </is>
      </c>
      <c r="B14" s="7">
        <f>IF(OR(B6&gt;60000000,B7&gt;300000),"대상","비대상")</f>
        <v/>
      </c>
    </row>
    <row r="15">
      <c r="A15" t="inlineStr">
        <is>
          <t>전월세신고 법정 마감일 (계약일+30일, 대상인 경우만 유효)</t>
        </is>
      </c>
      <c r="B15" s="7">
        <f>TEXT(DATEVALUE(B5)+30,"YYYY-MM-DD")</f>
        <v/>
      </c>
    </row>
    <row r="17">
      <c r="A17" s="2" t="inlineStr">
        <is>
          <t>③ 타임라인 체크리스트</t>
        </is>
      </c>
    </row>
    <row r="18">
      <c r="A18" s="8" t="inlineStr">
        <is>
          <t>시점</t>
        </is>
      </c>
      <c r="B18" s="8" t="inlineStr">
        <is>
          <t>할 일</t>
        </is>
      </c>
      <c r="C18" s="8" t="inlineStr">
        <is>
          <t>완료(O)</t>
        </is>
      </c>
    </row>
    <row r="19">
      <c r="A19" s="9" t="inlineStr">
        <is>
          <t>이사 당일</t>
        </is>
      </c>
      <c r="B19" t="inlineStr">
        <is>
          <t>계약서·신분증 지참해 주민센터(또는 정부24) 방문</t>
        </is>
      </c>
      <c r="C19" s="10" t="inlineStr"/>
    </row>
    <row r="20">
      <c r="A20" s="9" t="inlineStr">
        <is>
          <t>이사 당일</t>
        </is>
      </c>
      <c r="B20" t="inlineStr">
        <is>
          <t>전입신고 접수</t>
        </is>
      </c>
      <c r="C20" s="10" t="inlineStr"/>
    </row>
    <row r="21">
      <c r="A21" s="9" t="inlineStr">
        <is>
          <t>이사 당일</t>
        </is>
      </c>
      <c r="B21" t="inlineStr">
        <is>
          <t>확정일자 받기 (전입신고와 같은 날 처리 권장)</t>
        </is>
      </c>
      <c r="C21" s="10" t="inlineStr"/>
    </row>
    <row r="22">
      <c r="A22" s="9" t="inlineStr">
        <is>
          <t>이사 당일</t>
        </is>
      </c>
      <c r="B22" t="inlineStr">
        <is>
          <t>보증금 6천만원 또는 월세 30만원 초과 시 전월세신고 동시 처리</t>
        </is>
      </c>
      <c r="C22" s="10" t="inlineStr"/>
    </row>
    <row r="23">
      <c r="A23" s="9" t="inlineStr">
        <is>
          <t>+14일 이내</t>
        </is>
      </c>
      <c r="B23" t="inlineStr">
        <is>
          <t>전입신고 마감 여부 재확인</t>
        </is>
      </c>
      <c r="C23" s="10" t="inlineStr"/>
    </row>
    <row r="24">
      <c r="A24" s="9" t="inlineStr">
        <is>
          <t>+30일 이내</t>
        </is>
      </c>
      <c r="B24" t="inlineStr">
        <is>
          <t>전월세신고 마감 여부 재확인 (대상인 경우)</t>
        </is>
      </c>
      <c r="C24" s="10" t="inlineStr"/>
    </row>
    <row r="25">
      <c r="A25" s="9" t="inlineStr">
        <is>
          <t>+30일 이내</t>
        </is>
      </c>
      <c r="B25" t="inlineStr">
        <is>
          <t>등기부등본 재열람해 근저당 변동 여부 확인</t>
        </is>
      </c>
      <c r="C25" s="10" t="inlineStr"/>
    </row>
    <row r="27">
      <c r="A27" s="2" t="inlineStr">
        <is>
          <t>진행률</t>
        </is>
      </c>
      <c r="C27" s="11">
        <f>TEXT(COUNTIF(C19:C25,"O")/COUNTA(B19:B25),"0%")</f>
        <v/>
      </c>
    </row>
    <row r="28">
      <c r="A28" s="12" t="inlineStr">
        <is>
          <t>참고</t>
        </is>
      </c>
    </row>
    <row r="29">
      <c r="A29" s="6" t="inlineStr">
        <is>
          <t>전입신고·확정일자·전월세신고는 보증금을 지키는 법적 권리와 직결됩니다. 공동명의·외국인 등 특수 상황은 반드시 주민센터나 법률 전문가에게 재확인하도록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전입신고·확정일자·전월세신고 체크리스트</t>
        </is>
      </c>
    </row>
    <row r="4">
      <c r="B4" s="2" t="inlineStr">
        <is>
          <t>⚠ 사용 전 꼭 읽어주세요</t>
        </is>
      </c>
    </row>
    <row r="5">
      <c r="B5" s="6" t="inlineStr">
        <is>
          <t>본 체크리스트는 이사 후 놓치기 쉬운 행정 절차의 법정 기한을 계산하고 타임라인으로 정리하는 도구입니다.</t>
        </is>
      </c>
    </row>
    <row r="6">
      <c r="B6" s="6" t="inlineStr">
        <is>
          <t>법정 기한(14일/30일)은 일반적인 기준이며, 공동명의·외국인 등 특수 상황은 별도 확인이 필요합니다. (기준: 2026년 9월 확인)</t>
        </is>
      </c>
    </row>
    <row r="8">
      <c r="B8" s="2" t="inlineStr">
        <is>
          <t>사용법</t>
        </is>
      </c>
    </row>
    <row r="9">
      <c r="B9" s="6" t="inlineStr">
        <is>
          <t>① 노란색 칸에 이사일·계약일·보증금·월세를 입력</t>
        </is>
      </c>
    </row>
    <row r="10">
      <c r="B10" s="6" t="inlineStr">
        <is>
          <t>② 올리브색 칸에서 전입신고·전월세신고 법정 마감일과 전월세신고 대상 여부를 자동 확인</t>
        </is>
      </c>
    </row>
    <row r="11">
      <c r="B11" s="6" t="inlineStr">
        <is>
          <t>③ 타임라인 체크리스트에서 이사 당일부터 +30일까지 할 일을 완료(O)로 기록</t>
        </is>
      </c>
    </row>
    <row r="12">
      <c r="B12" s="6" t="inlineStr">
        <is>
          <t>④ 완료 열이 자동으로 진행률(%)로 집계되므로 의뢰인별 진행 상태를 한눈에 파악</t>
        </is>
      </c>
    </row>
    <row r="14">
      <c r="B14" s="6" t="inlineStr">
        <is>
          <t>이 체크리스트는 일반적인 절차 안내이며, 특수한 상황은 반드시 주민센터나 법률 전문가에게 재확인하도록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2026-10-01T21:25:45Z</dcterms:created>
  <dcterms:modified xsi:type="dcterms:W3CDTF">2026-10-01T21:25:45Z</dcterms:modified>
</cp:coreProperties>
</file>