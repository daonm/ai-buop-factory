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중도상환수수료 기준표" sheetId="2" state="visible" r:id="rId2"/>
    <sheet name="계산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#,##0&quot;개월&quot;"/>
    <numFmt numFmtId="166" formatCode="0.0000%"/>
    <numFmt numFmtId="167" formatCode="0.0&quot;개월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165" fontId="0" fillId="3" borderId="0" pivotButton="0" quotePrefix="0" xfId="0"/>
    <xf numFmtId="166" fontId="2" fillId="4" borderId="0" pivotButton="0" quotePrefix="0" xfId="0"/>
    <xf numFmtId="164" fontId="2" fillId="4" borderId="0" pivotButton="0" quotePrefix="0" xfId="0"/>
    <xf numFmtId="167" fontId="2" fillId="4" borderId="0" pivotButton="0" quotePrefix="0" xfId="0"/>
    <xf numFmtId="10" fontId="0" fillId="0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대환대출(금리 갈아타기) 순이익 계산기</t>
        </is>
      </c>
    </row>
    <row r="4">
      <c r="B4" s="2" t="inlineStr">
        <is>
          <t>⚠ 사용 전 꼭 읽어주세요</t>
        </is>
      </c>
    </row>
    <row r="5" ht="40" customHeight="1">
      <c r="B5" s="3" t="inlineStr">
        <is>
          <t>본 계산기는 대환대출 시 아끼는 이자와 드는 비용을 비교하는 참고용 도구입니다. 법률·투자 자문이 아니며, 실제 중도상환수수료율·신규 대출 부대비용은 은행·상품·시기에 따라 다릅니다.</t>
        </is>
      </c>
    </row>
    <row r="6" ht="40" customHeight="1">
      <c r="B6" s="3" t="inlineStr">
        <is>
          <t>'중도상환수수료 기준표' 시트는 일반적인 체감 구조를 정리한 것으로, 실제 금액은 반드시 고객의 대출 상품설명서 또는 은행 앱의 '중도상환수수료 조회' 화면으로 재확인하세요. (기준: 2026년 9월 확인)</t>
        </is>
      </c>
    </row>
    <row r="8">
      <c r="B8" s="2" t="inlineStr">
        <is>
          <t>사용법</t>
        </is>
      </c>
    </row>
    <row r="9">
      <c r="B9" s="4" t="inlineStr">
        <is>
          <t>① '중도상환수수료 기준표' 시트에서 일반적인 감면 구조를 확인</t>
        </is>
      </c>
    </row>
    <row r="10">
      <c r="B10" s="4" t="inlineStr">
        <is>
          <t>② '계산기' 시트의 노란색 칸에 기존 대출·신규 대출 조건, 중도상환수수료 조건을 입력</t>
        </is>
      </c>
    </row>
    <row r="11">
      <c r="B11" s="4" t="inlineStr">
        <is>
          <t>③ 올리브색 칸에서 아끼는 총이자, 중도상환수수료, 대환 순이익, 손익분기 개월수를 확인</t>
        </is>
      </c>
    </row>
    <row r="12">
      <c r="B12" s="4" t="inlineStr">
        <is>
          <t>④ 하단 '여러 은행 비교표'에 후보 은행 2~3곳의 신규 금리를 입력해 순이익이 가장 큰 곳을 비교</t>
        </is>
      </c>
    </row>
    <row r="14" ht="55" customHeight="1">
      <c r="B14" s="5" t="inlineStr">
        <is>
          <t>대환 순이익(B22)이 플러스라도 손익분기 개월수(B23)보다 빨리 다시 이사·재대환할 계획이면 실익이 없을 수 있습니다. 상담 시 두 값을 함께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2" customWidth="1" min="3" max="3"/>
  </cols>
  <sheetData>
    <row r="1">
      <c r="A1" s="6" t="inlineStr">
        <is>
          <t>구분</t>
        </is>
      </c>
      <c r="B1" s="6" t="inlineStr">
        <is>
          <t>일반적인 구조</t>
        </is>
      </c>
      <c r="C1" s="6" t="inlineStr">
        <is>
          <t>비고</t>
        </is>
      </c>
    </row>
    <row r="2">
      <c r="A2" t="inlineStr">
        <is>
          <t>변동금리 대출</t>
        </is>
      </c>
      <c r="B2" s="7" t="inlineStr">
        <is>
          <t>수수료율 약 1.0~1.4%, 통상 3년(36개월) 경과 시 0%로 감면</t>
        </is>
      </c>
      <c r="C2" s="8" t="inlineStr">
        <is>
          <t>은행·상품별 상이</t>
        </is>
      </c>
    </row>
    <row r="3">
      <c r="A3" t="inlineStr">
        <is>
          <t>고정금리 대출</t>
        </is>
      </c>
      <c r="B3" s="7" t="inlineStr">
        <is>
          <t>수수료율 약 1.2~1.8%, 변동금리보다 대체로 높음</t>
        </is>
      </c>
      <c r="C3" s="8" t="inlineStr">
        <is>
          <t>감면 개월수는 변동금리와 동일한 경우가 많음</t>
        </is>
      </c>
    </row>
    <row r="4">
      <c r="A4" t="inlineStr">
        <is>
          <t>감면 구조</t>
        </is>
      </c>
      <c r="B4" s="7" t="inlineStr">
        <is>
          <t>경과개월수 ÷ 감면기간 비율만큼 수수료율이 줄어드는 선형 체감 구조가 일반적</t>
        </is>
      </c>
      <c r="C4" s="8" t="inlineStr">
        <is>
          <t>수수료 = 상환원금 × 수수료율 × (남은감면기간÷전체감면기간)</t>
        </is>
      </c>
    </row>
    <row r="5">
      <c r="A5" t="inlineStr">
        <is>
          <t>보금자리론 등 정책상품</t>
        </is>
      </c>
      <c r="B5" s="7" t="inlineStr">
        <is>
          <t>상품별로 별도 수수료 규정 적용, 감면 구조가 다를 수 있음</t>
        </is>
      </c>
      <c r="C5" s="8" t="inlineStr">
        <is>
          <t>반드시 개별 상품설명서 확인</t>
        </is>
      </c>
    </row>
    <row r="7">
      <c r="A7" s="8" t="inlineStr">
        <is>
          <t>※ 수수료율·감면기간은 정책·은행에 따라 자주 바뀝니다. 반드시 고객의 실제 상품설명서로 재확인하세요.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대환대출 순이익 계산기</t>
        </is>
      </c>
    </row>
    <row r="3">
      <c r="A3" s="2" t="inlineStr">
        <is>
          <t>① 기존 대출 조건</t>
        </is>
      </c>
    </row>
    <row r="4">
      <c r="A4" s="4" t="inlineStr">
        <is>
          <t>기존 대출 잔액(원금)</t>
        </is>
      </c>
      <c r="B4" s="9" t="n">
        <v>300000000</v>
      </c>
    </row>
    <row r="5">
      <c r="A5" s="4" t="inlineStr">
        <is>
          <t>기존 금리(연)</t>
        </is>
      </c>
      <c r="B5" s="10" t="n">
        <v>0.048</v>
      </c>
    </row>
    <row r="6">
      <c r="A6" s="4" t="inlineStr">
        <is>
          <t>남은 상환개월수</t>
        </is>
      </c>
      <c r="B6" s="11" t="n">
        <v>240</v>
      </c>
    </row>
    <row r="8">
      <c r="A8" s="2" t="inlineStr">
        <is>
          <t>② 신규 대출 조건</t>
        </is>
      </c>
    </row>
    <row r="9">
      <c r="A9" s="4" t="inlineStr">
        <is>
          <t>신규 금리(연)</t>
        </is>
      </c>
      <c r="B9" s="10" t="n">
        <v>0.039</v>
      </c>
    </row>
    <row r="10">
      <c r="A10" s="4" t="inlineStr">
        <is>
          <t>신규 대출 부대비용(인지세·수수료 등)</t>
        </is>
      </c>
      <c r="B10" s="9" t="n">
        <v>500000</v>
      </c>
    </row>
    <row r="12">
      <c r="A12" s="2" t="inlineStr">
        <is>
          <t>③ 중도상환수수료 조건</t>
        </is>
      </c>
    </row>
    <row r="13">
      <c r="A13" s="4" t="inlineStr">
        <is>
          <t>대출 실행 후 경과개월수</t>
        </is>
      </c>
      <c r="B13" s="11" t="n">
        <v>14</v>
      </c>
    </row>
    <row r="14">
      <c r="A14" s="4" t="inlineStr">
        <is>
          <t>수수료율</t>
        </is>
      </c>
      <c r="B14" s="10" t="n">
        <v>0.012</v>
      </c>
    </row>
    <row r="15">
      <c r="A15" s="4" t="inlineStr">
        <is>
          <t>감면기간(통상 36개월)</t>
        </is>
      </c>
      <c r="B15" s="11" t="n">
        <v>36</v>
      </c>
    </row>
    <row r="17">
      <c r="A17" s="2" t="inlineStr">
        <is>
          <t>④ 계산 결과</t>
        </is>
      </c>
    </row>
    <row r="18">
      <c r="A18" s="4" t="inlineStr">
        <is>
          <t>기존 대출 월이율</t>
        </is>
      </c>
      <c r="B18" s="12">
        <f>B5/12</f>
        <v/>
      </c>
    </row>
    <row r="19">
      <c r="A19" s="4" t="inlineStr">
        <is>
          <t>기존 대출 월상환액(M1)</t>
        </is>
      </c>
      <c r="B19" s="13">
        <f>B4*B18*(1+B18)^B6/((1+B18)^B6-1)</f>
        <v/>
      </c>
    </row>
    <row r="20">
      <c r="A20" s="4" t="inlineStr">
        <is>
          <t>신규 대출 월이율</t>
        </is>
      </c>
      <c r="B20" s="12">
        <f>B9/12</f>
        <v/>
      </c>
    </row>
    <row r="21">
      <c r="A21" s="4" t="inlineStr">
        <is>
          <t>신규 대출 월상환액(M2)</t>
        </is>
      </c>
      <c r="B21" s="13">
        <f>B4*B20*(1+B20)^B6/((1+B20)^B6-1)</f>
        <v/>
      </c>
    </row>
    <row r="22">
      <c r="A22" s="4" t="inlineStr">
        <is>
          <t>잔여기간 아끼는 총이자</t>
        </is>
      </c>
      <c r="B22" s="13">
        <f>(B19*B6)-(B21*B6)</f>
        <v/>
      </c>
    </row>
    <row r="23">
      <c r="A23" s="4" t="inlineStr">
        <is>
          <t>중도상환수수료</t>
        </is>
      </c>
      <c r="B23" s="13">
        <f>B4*B14*MAX(0,B15-B13)/B15</f>
        <v/>
      </c>
    </row>
    <row r="24">
      <c r="A24" s="4" t="inlineStr">
        <is>
          <t>대환 순이익 (아끼는 이자 − 수수료 − 부대비용)</t>
        </is>
      </c>
      <c r="B24" s="13">
        <f>B22-B23-B10</f>
        <v/>
      </c>
    </row>
    <row r="25">
      <c r="A25" s="4" t="inlineStr">
        <is>
          <t>손익분기 개월수 (초기비용을 월 절감액으로 회수)</t>
        </is>
      </c>
      <c r="B25" s="14">
        <f>IFERROR((B23+B10)/(B19-B21),"월상환액 절감 없음")</f>
        <v/>
      </c>
      <c r="C25" s="8" t="inlineStr">
        <is>
          <t>이 개월수보다 짧게 유지할 계획이면 대환 실익이 없을 수 있습니다.</t>
        </is>
      </c>
    </row>
    <row r="27">
      <c r="A27" s="2" t="inlineStr">
        <is>
          <t>⑤ 여러 은행 비교</t>
        </is>
      </c>
    </row>
    <row r="28">
      <c r="A28" s="6" t="inlineStr">
        <is>
          <t>은행/후보</t>
        </is>
      </c>
      <c r="B28" s="6" t="inlineStr">
        <is>
          <t>신규 금리</t>
        </is>
      </c>
      <c r="C28" s="6" t="inlineStr">
        <is>
          <t>신규 월상환액</t>
        </is>
      </c>
      <c r="D28" s="6" t="inlineStr">
        <is>
          <t>아끼는 총이자</t>
        </is>
      </c>
      <c r="E28" s="6" t="inlineStr">
        <is>
          <t>순이익(수수료·부대비용 반영)</t>
        </is>
      </c>
    </row>
    <row r="29">
      <c r="A29" t="inlineStr">
        <is>
          <t>A은행(현재 입력값)</t>
        </is>
      </c>
      <c r="B29" s="15">
        <f>B9</f>
        <v/>
      </c>
      <c r="C29" s="16">
        <f>$B$4*(B29/12)*(1+B29/12)^$B$6/((1+B29/12)^$B$6-1)</f>
        <v/>
      </c>
      <c r="D29" s="16">
        <f>($B$19*$B$6)-(C29*$B$6)</f>
        <v/>
      </c>
      <c r="E29" s="13">
        <f>D29-$B$23-$B$10</f>
        <v/>
      </c>
    </row>
    <row r="30">
      <c r="A30" t="inlineStr">
        <is>
          <t>B은행 후보</t>
        </is>
      </c>
      <c r="B30" s="10" t="n">
        <v>0.036</v>
      </c>
      <c r="C30" s="16">
        <f>$B$4*(B30/12)*(1+B30/12)^$B$6/((1+B30/12)^$B$6-1)</f>
        <v/>
      </c>
      <c r="D30" s="16">
        <f>($B$19*$B$6)-(C30*$B$6)</f>
        <v/>
      </c>
      <c r="E30" s="13">
        <f>D30-$B$23-$B$10</f>
        <v/>
      </c>
    </row>
    <row r="31">
      <c r="A31" t="inlineStr">
        <is>
          <t>C은행 후보</t>
        </is>
      </c>
      <c r="B31" s="10" t="n">
        <v>0.041</v>
      </c>
      <c r="C31" s="16">
        <f>$B$4*(B31/12)*(1+B31/12)^$B$6/((1+B31/12)^$B$6-1)</f>
        <v/>
      </c>
      <c r="D31" s="16">
        <f>($B$19*$B$6)-(C31*$B$6)</f>
        <v/>
      </c>
      <c r="E31" s="13">
        <f>D31-$B$23-$B$10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2026-09-23T21:20:46Z</dcterms:created>
  <dcterms:modified xsi:type="dcterms:W3CDTF">2026-09-23T21:20:46Z</dcterms:modified>
</cp:coreProperties>
</file>