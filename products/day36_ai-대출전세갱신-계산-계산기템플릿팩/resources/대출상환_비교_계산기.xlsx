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#,##0&quot;개월&quot;"/>
    <numFmt numFmtId="166" formatCode="0.0000%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  <fill>
      <patternFill patternType="solid">
        <fgColor rgb="FFF7F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0" fillId="2" borderId="0" pivotButton="0" quotePrefix="0" xfId="0"/>
    <xf numFmtId="10" fontId="0" fillId="2" borderId="0" pivotButton="0" quotePrefix="0" xfId="0"/>
    <xf numFmtId="165" fontId="0" fillId="2" borderId="0" pivotButton="0" quotePrefix="0" xfId="0"/>
    <xf numFmtId="166" fontId="2" fillId="3" borderId="0" pivotButton="0" quotePrefix="0" xfId="0"/>
    <xf numFmtId="164" fontId="2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대출상환 비교 계산기 (원리금균등 vs 원금균등)</t>
        </is>
      </c>
    </row>
    <row r="4">
      <c r="B4" s="2" t="inlineStr">
        <is>
          <t>⚠ 사용 전 꼭 읽어주세요</t>
        </is>
      </c>
    </row>
    <row r="5" ht="40" customHeight="1">
      <c r="B5" s="3" t="inlineStr">
        <is>
          <t>본 계산기는 대출 상환액을 미리 가늠해보는 참고용 도구입니다. 법률·금융 자문을 대신하지 않으며, 실제 은행 상환액과는 대출실행일·거치기간·1원 단위 반올림 방식에 따라 며칠 또는 몇백 원 단위 오차가 날 수 있습니다.</t>
        </is>
      </c>
    </row>
    <row r="6" ht="40" customHeight="1">
      <c r="B6" s="3" t="inlineStr">
        <is>
          <t>은행 앱에 표시된 실제 상환 스케줄과 반드시 대조한 뒤 상담·판매에 사용하세요. (기준: 2026년 9월 확인)</t>
        </is>
      </c>
    </row>
    <row r="8">
      <c r="B8" s="2" t="inlineStr">
        <is>
          <t>사용법</t>
        </is>
      </c>
    </row>
    <row r="9">
      <c r="B9" s="4" t="inlineStr">
        <is>
          <t>① '계산기' 시트의 노란색 칸에 원금·연이율·상환개월수를 입력</t>
        </is>
      </c>
    </row>
    <row r="10">
      <c r="B10" s="4" t="inlineStr">
        <is>
          <t>② 올리브색 칸에서 원리금균등·원금균등 두 방식의 월상환액·총이자 비교 확인</t>
        </is>
      </c>
    </row>
    <row r="11">
      <c r="B11" s="4" t="inlineStr">
        <is>
          <t>③ 하단 회차별 내역표(1~12회차)에서 초반 상환 흐름을 확인 — 두 방식의 회차별 부담 차이가 여기서 드러남</t>
        </is>
      </c>
    </row>
    <row r="13" ht="55" customHeight="1">
      <c r="B13" s="5" t="inlineStr">
        <is>
          <t>총이자 차액(원리금균등 총이자 − 원금균등 총이자)이 이 계산기의 핵심 결과입니다. 이 값과 아래 회차별 내역표를 그대로 상담 리포트에 옮겨 쓰세요.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대출상환 비교 계산기</t>
        </is>
      </c>
    </row>
    <row r="3">
      <c r="A3" s="2" t="inlineStr">
        <is>
          <t>① 대출 조건 입력</t>
        </is>
      </c>
    </row>
    <row r="4">
      <c r="A4" s="4" t="inlineStr">
        <is>
          <t>대출 원금</t>
        </is>
      </c>
      <c r="B4" s="6" t="n">
        <v>300000000</v>
      </c>
    </row>
    <row r="5">
      <c r="A5" s="4" t="inlineStr">
        <is>
          <t>연이율</t>
        </is>
      </c>
      <c r="B5" s="7" t="n">
        <v>0.045</v>
      </c>
    </row>
    <row r="6">
      <c r="A6" s="4" t="inlineStr">
        <is>
          <t>상환개월수</t>
        </is>
      </c>
      <c r="B6" s="8" t="n">
        <v>360</v>
      </c>
    </row>
    <row r="8">
      <c r="A8" s="2" t="inlineStr">
        <is>
          <t>② 기준값</t>
        </is>
      </c>
    </row>
    <row r="9">
      <c r="A9" s="4" t="inlineStr">
        <is>
          <t>월이율(연이율÷12)</t>
        </is>
      </c>
      <c r="B9" s="9">
        <f>B5/12</f>
        <v/>
      </c>
    </row>
    <row r="10">
      <c r="A10" s="4" t="inlineStr">
        <is>
          <t>원리금균등 월상환액</t>
        </is>
      </c>
      <c r="B10" s="10">
        <f>B4*B9*(1+B9)^B6/((1+B9)^B6-1)</f>
        <v/>
      </c>
    </row>
    <row r="11">
      <c r="A11" s="4" t="inlineStr">
        <is>
          <t>원금균등 첫 달 월상환액</t>
        </is>
      </c>
      <c r="B11" s="10">
        <f>B4/B6+B4*B9</f>
        <v/>
      </c>
      <c r="C11" s="11" t="inlineStr">
        <is>
          <t>원금균등은 매달 상환액이 줄어듭니다. 마지막 달 상환액은 원금(B4/B6)+마지막 잔액×월이율</t>
        </is>
      </c>
    </row>
    <row r="13">
      <c r="A13" s="2" t="inlineStr">
        <is>
          <t>③ 총이자 비교</t>
        </is>
      </c>
    </row>
    <row r="14">
      <c r="A14" s="4" t="inlineStr">
        <is>
          <t>원리금균등 총이자</t>
        </is>
      </c>
      <c r="B14" s="10">
        <f>B10*B6-B4</f>
        <v/>
      </c>
    </row>
    <row r="15">
      <c r="A15" s="4" t="inlineStr">
        <is>
          <t>원금균등 총이자</t>
        </is>
      </c>
      <c r="B15" s="10">
        <f>B9*B4*(B6+1)/2</f>
        <v/>
      </c>
    </row>
    <row r="16">
      <c r="A16" s="4" t="inlineStr">
        <is>
          <t>총이자 차액 (원리금균등 − 원금균등)</t>
        </is>
      </c>
      <c r="B16" s="10">
        <f>B14-B15</f>
        <v/>
      </c>
      <c r="C16" s="11" t="inlineStr">
        <is>
          <t>원금균등이 항상 총이자가 더 적지만, 초반 월상환액 부담이 더 큽니다. 상담 시 이 트레이드오프를 함께 설명하세요.</t>
        </is>
      </c>
    </row>
    <row r="19">
      <c r="A19" s="2" t="inlineStr">
        <is>
          <t>④ 회차별 내역표 (1~12회차)</t>
        </is>
      </c>
    </row>
    <row r="20">
      <c r="A20" s="4" t="inlineStr">
        <is>
          <t>원리금균등상환</t>
        </is>
      </c>
    </row>
    <row r="21">
      <c r="A21" s="12" t="inlineStr">
        <is>
          <t>회차</t>
        </is>
      </c>
      <c r="B21" s="12" t="inlineStr">
        <is>
          <t>월상환액</t>
        </is>
      </c>
      <c r="C21" s="12" t="inlineStr">
        <is>
          <t>원금</t>
        </is>
      </c>
      <c r="D21" s="12" t="inlineStr">
        <is>
          <t>이자</t>
        </is>
      </c>
      <c r="E21" s="12" t="inlineStr">
        <is>
          <t>잔액</t>
        </is>
      </c>
    </row>
    <row r="22">
      <c r="A22">
        <f>IF(ROW()-21&lt;=$B$6,ROW()-21,"")</f>
        <v/>
      </c>
      <c r="B22" s="13">
        <f>IF($A22="","",$B$10)</f>
        <v/>
      </c>
      <c r="C22" s="13">
        <f>IF($A22="","",B22-D22)</f>
        <v/>
      </c>
      <c r="D22" s="13">
        <f>IF($A22="","",$B$4*$B$9)</f>
        <v/>
      </c>
      <c r="E22" s="13">
        <f>IF($A22="","",$B$4-C22)</f>
        <v/>
      </c>
    </row>
    <row r="23">
      <c r="A23">
        <f>IF(ROW()-21&lt;=$B$6,ROW()-21,"")</f>
        <v/>
      </c>
      <c r="B23" s="13">
        <f>IF($A23="","",$B$10)</f>
        <v/>
      </c>
      <c r="C23" s="13">
        <f>IF($A23="","",B23-D23)</f>
        <v/>
      </c>
      <c r="D23" s="13">
        <f>IF($A23="","",E22*$B$9)</f>
        <v/>
      </c>
      <c r="E23" s="13">
        <f>IF($A23="","",E22-C23)</f>
        <v/>
      </c>
    </row>
    <row r="24">
      <c r="A24">
        <f>IF(ROW()-21&lt;=$B$6,ROW()-21,"")</f>
        <v/>
      </c>
      <c r="B24" s="13">
        <f>IF($A24="","",$B$10)</f>
        <v/>
      </c>
      <c r="C24" s="13">
        <f>IF($A24="","",B24-D24)</f>
        <v/>
      </c>
      <c r="D24" s="13">
        <f>IF($A24="","",E23*$B$9)</f>
        <v/>
      </c>
      <c r="E24" s="13">
        <f>IF($A24="","",E23-C24)</f>
        <v/>
      </c>
    </row>
    <row r="25">
      <c r="A25">
        <f>IF(ROW()-21&lt;=$B$6,ROW()-21,"")</f>
        <v/>
      </c>
      <c r="B25" s="13">
        <f>IF($A25="","",$B$10)</f>
        <v/>
      </c>
      <c r="C25" s="13">
        <f>IF($A25="","",B25-D25)</f>
        <v/>
      </c>
      <c r="D25" s="13">
        <f>IF($A25="","",E24*$B$9)</f>
        <v/>
      </c>
      <c r="E25" s="13">
        <f>IF($A25="","",E24-C25)</f>
        <v/>
      </c>
    </row>
    <row r="26">
      <c r="A26">
        <f>IF(ROW()-21&lt;=$B$6,ROW()-21,"")</f>
        <v/>
      </c>
      <c r="B26" s="13">
        <f>IF($A26="","",$B$10)</f>
        <v/>
      </c>
      <c r="C26" s="13">
        <f>IF($A26="","",B26-D26)</f>
        <v/>
      </c>
      <c r="D26" s="13">
        <f>IF($A26="","",E25*$B$9)</f>
        <v/>
      </c>
      <c r="E26" s="13">
        <f>IF($A26="","",E25-C26)</f>
        <v/>
      </c>
    </row>
    <row r="27">
      <c r="A27">
        <f>IF(ROW()-21&lt;=$B$6,ROW()-21,"")</f>
        <v/>
      </c>
      <c r="B27" s="13">
        <f>IF($A27="","",$B$10)</f>
        <v/>
      </c>
      <c r="C27" s="13">
        <f>IF($A27="","",B27-D27)</f>
        <v/>
      </c>
      <c r="D27" s="13">
        <f>IF($A27="","",E26*$B$9)</f>
        <v/>
      </c>
      <c r="E27" s="13">
        <f>IF($A27="","",E26-C27)</f>
        <v/>
      </c>
    </row>
    <row r="28">
      <c r="A28">
        <f>IF(ROW()-21&lt;=$B$6,ROW()-21,"")</f>
        <v/>
      </c>
      <c r="B28" s="13">
        <f>IF($A28="","",$B$10)</f>
        <v/>
      </c>
      <c r="C28" s="13">
        <f>IF($A28="","",B28-D28)</f>
        <v/>
      </c>
      <c r="D28" s="13">
        <f>IF($A28="","",E27*$B$9)</f>
        <v/>
      </c>
      <c r="E28" s="13">
        <f>IF($A28="","",E27-C28)</f>
        <v/>
      </c>
    </row>
    <row r="29">
      <c r="A29">
        <f>IF(ROW()-21&lt;=$B$6,ROW()-21,"")</f>
        <v/>
      </c>
      <c r="B29" s="13">
        <f>IF($A29="","",$B$10)</f>
        <v/>
      </c>
      <c r="C29" s="13">
        <f>IF($A29="","",B29-D29)</f>
        <v/>
      </c>
      <c r="D29" s="13">
        <f>IF($A29="","",E28*$B$9)</f>
        <v/>
      </c>
      <c r="E29" s="13">
        <f>IF($A29="","",E28-C29)</f>
        <v/>
      </c>
    </row>
    <row r="30">
      <c r="A30">
        <f>IF(ROW()-21&lt;=$B$6,ROW()-21,"")</f>
        <v/>
      </c>
      <c r="B30" s="13">
        <f>IF($A30="","",$B$10)</f>
        <v/>
      </c>
      <c r="C30" s="13">
        <f>IF($A30="","",B30-D30)</f>
        <v/>
      </c>
      <c r="D30" s="13">
        <f>IF($A30="","",E29*$B$9)</f>
        <v/>
      </c>
      <c r="E30" s="13">
        <f>IF($A30="","",E29-C30)</f>
        <v/>
      </c>
    </row>
    <row r="31">
      <c r="A31">
        <f>IF(ROW()-21&lt;=$B$6,ROW()-21,"")</f>
        <v/>
      </c>
      <c r="B31" s="13">
        <f>IF($A31="","",$B$10)</f>
        <v/>
      </c>
      <c r="C31" s="13">
        <f>IF($A31="","",B31-D31)</f>
        <v/>
      </c>
      <c r="D31" s="13">
        <f>IF($A31="","",E30*$B$9)</f>
        <v/>
      </c>
      <c r="E31" s="13">
        <f>IF($A31="","",E30-C31)</f>
        <v/>
      </c>
    </row>
    <row r="32">
      <c r="A32">
        <f>IF(ROW()-21&lt;=$B$6,ROW()-21,"")</f>
        <v/>
      </c>
      <c r="B32" s="13">
        <f>IF($A32="","",$B$10)</f>
        <v/>
      </c>
      <c r="C32" s="13">
        <f>IF($A32="","",B32-D32)</f>
        <v/>
      </c>
      <c r="D32" s="13">
        <f>IF($A32="","",E31*$B$9)</f>
        <v/>
      </c>
      <c r="E32" s="13">
        <f>IF($A32="","",E31-C32)</f>
        <v/>
      </c>
    </row>
    <row r="33">
      <c r="A33">
        <f>IF(ROW()-21&lt;=$B$6,ROW()-21,"")</f>
        <v/>
      </c>
      <c r="B33" s="13">
        <f>IF($A33="","",$B$10)</f>
        <v/>
      </c>
      <c r="C33" s="13">
        <f>IF($A33="","",B33-D33)</f>
        <v/>
      </c>
      <c r="D33" s="13">
        <f>IF($A33="","",E32*$B$9)</f>
        <v/>
      </c>
      <c r="E33" s="13">
        <f>IF($A33="","",E32-C33)</f>
        <v/>
      </c>
    </row>
    <row r="35">
      <c r="A35" s="4" t="inlineStr">
        <is>
          <t>원금균등상환</t>
        </is>
      </c>
    </row>
    <row r="36">
      <c r="A36" s="12" t="inlineStr">
        <is>
          <t>회차</t>
        </is>
      </c>
      <c r="B36" s="12" t="inlineStr">
        <is>
          <t>월상환액</t>
        </is>
      </c>
      <c r="C36" s="12" t="inlineStr">
        <is>
          <t>원금</t>
        </is>
      </c>
      <c r="D36" s="12" t="inlineStr">
        <is>
          <t>이자</t>
        </is>
      </c>
      <c r="E36" s="12" t="inlineStr">
        <is>
          <t>잔액</t>
        </is>
      </c>
    </row>
    <row r="37">
      <c r="A37">
        <f>IF(ROW()-36&lt;=$B$6,ROW()-36,"")</f>
        <v/>
      </c>
      <c r="B37" s="13">
        <f>IF($A37="","",C37+D37)</f>
        <v/>
      </c>
      <c r="C37" s="13">
        <f>IF($A37="","",$B$4/$B$6)</f>
        <v/>
      </c>
      <c r="D37" s="13">
        <f>IF($A37="","",$B$4*$B$9)</f>
        <v/>
      </c>
      <c r="E37" s="13">
        <f>IF($A37="","",$B$4-C37)</f>
        <v/>
      </c>
    </row>
    <row r="38">
      <c r="A38">
        <f>IF(ROW()-36&lt;=$B$6,ROW()-36,"")</f>
        <v/>
      </c>
      <c r="B38" s="13">
        <f>IF($A38="","",C38+D38)</f>
        <v/>
      </c>
      <c r="C38" s="13">
        <f>IF($A38="","",$B$4/$B$6)</f>
        <v/>
      </c>
      <c r="D38" s="13">
        <f>IF($A38="","",E37*$B$9)</f>
        <v/>
      </c>
      <c r="E38" s="13">
        <f>IF($A38="","",E37-C38)</f>
        <v/>
      </c>
    </row>
    <row r="39">
      <c r="A39">
        <f>IF(ROW()-36&lt;=$B$6,ROW()-36,"")</f>
        <v/>
      </c>
      <c r="B39" s="13">
        <f>IF($A39="","",C39+D39)</f>
        <v/>
      </c>
      <c r="C39" s="13">
        <f>IF($A39="","",$B$4/$B$6)</f>
        <v/>
      </c>
      <c r="D39" s="13">
        <f>IF($A39="","",E38*$B$9)</f>
        <v/>
      </c>
      <c r="E39" s="13">
        <f>IF($A39="","",E38-C39)</f>
        <v/>
      </c>
    </row>
    <row r="40">
      <c r="A40">
        <f>IF(ROW()-36&lt;=$B$6,ROW()-36,"")</f>
        <v/>
      </c>
      <c r="B40" s="13">
        <f>IF($A40="","",C40+D40)</f>
        <v/>
      </c>
      <c r="C40" s="13">
        <f>IF($A40="","",$B$4/$B$6)</f>
        <v/>
      </c>
      <c r="D40" s="13">
        <f>IF($A40="","",E39*$B$9)</f>
        <v/>
      </c>
      <c r="E40" s="13">
        <f>IF($A40="","",E39-C40)</f>
        <v/>
      </c>
    </row>
    <row r="41">
      <c r="A41">
        <f>IF(ROW()-36&lt;=$B$6,ROW()-36,"")</f>
        <v/>
      </c>
      <c r="B41" s="13">
        <f>IF($A41="","",C41+D41)</f>
        <v/>
      </c>
      <c r="C41" s="13">
        <f>IF($A41="","",$B$4/$B$6)</f>
        <v/>
      </c>
      <c r="D41" s="13">
        <f>IF($A41="","",E40*$B$9)</f>
        <v/>
      </c>
      <c r="E41" s="13">
        <f>IF($A41="","",E40-C41)</f>
        <v/>
      </c>
    </row>
    <row r="42">
      <c r="A42">
        <f>IF(ROW()-36&lt;=$B$6,ROW()-36,"")</f>
        <v/>
      </c>
      <c r="B42" s="13">
        <f>IF($A42="","",C42+D42)</f>
        <v/>
      </c>
      <c r="C42" s="13">
        <f>IF($A42="","",$B$4/$B$6)</f>
        <v/>
      </c>
      <c r="D42" s="13">
        <f>IF($A42="","",E41*$B$9)</f>
        <v/>
      </c>
      <c r="E42" s="13">
        <f>IF($A42="","",E41-C42)</f>
        <v/>
      </c>
    </row>
    <row r="43">
      <c r="A43">
        <f>IF(ROW()-36&lt;=$B$6,ROW()-36,"")</f>
        <v/>
      </c>
      <c r="B43" s="13">
        <f>IF($A43="","",C43+D43)</f>
        <v/>
      </c>
      <c r="C43" s="13">
        <f>IF($A43="","",$B$4/$B$6)</f>
        <v/>
      </c>
      <c r="D43" s="13">
        <f>IF($A43="","",E42*$B$9)</f>
        <v/>
      </c>
      <c r="E43" s="13">
        <f>IF($A43="","",E42-C43)</f>
        <v/>
      </c>
    </row>
    <row r="44">
      <c r="A44">
        <f>IF(ROW()-36&lt;=$B$6,ROW()-36,"")</f>
        <v/>
      </c>
      <c r="B44" s="13">
        <f>IF($A44="","",C44+D44)</f>
        <v/>
      </c>
      <c r="C44" s="13">
        <f>IF($A44="","",$B$4/$B$6)</f>
        <v/>
      </c>
      <c r="D44" s="13">
        <f>IF($A44="","",E43*$B$9)</f>
        <v/>
      </c>
      <c r="E44" s="13">
        <f>IF($A44="","",E43-C44)</f>
        <v/>
      </c>
    </row>
    <row r="45">
      <c r="A45">
        <f>IF(ROW()-36&lt;=$B$6,ROW()-36,"")</f>
        <v/>
      </c>
      <c r="B45" s="13">
        <f>IF($A45="","",C45+D45)</f>
        <v/>
      </c>
      <c r="C45" s="13">
        <f>IF($A45="","",$B$4/$B$6)</f>
        <v/>
      </c>
      <c r="D45" s="13">
        <f>IF($A45="","",E44*$B$9)</f>
        <v/>
      </c>
      <c r="E45" s="13">
        <f>IF($A45="","",E44-C45)</f>
        <v/>
      </c>
    </row>
    <row r="46">
      <c r="A46">
        <f>IF(ROW()-36&lt;=$B$6,ROW()-36,"")</f>
        <v/>
      </c>
      <c r="B46" s="13">
        <f>IF($A46="","",C46+D46)</f>
        <v/>
      </c>
      <c r="C46" s="13">
        <f>IF($A46="","",$B$4/$B$6)</f>
        <v/>
      </c>
      <c r="D46" s="13">
        <f>IF($A46="","",E45*$B$9)</f>
        <v/>
      </c>
      <c r="E46" s="13">
        <f>IF($A46="","",E45-C46)</f>
        <v/>
      </c>
    </row>
    <row r="47">
      <c r="A47">
        <f>IF(ROW()-36&lt;=$B$6,ROW()-36,"")</f>
        <v/>
      </c>
      <c r="B47" s="13">
        <f>IF($A47="","",C47+D47)</f>
        <v/>
      </c>
      <c r="C47" s="13">
        <f>IF($A47="","",$B$4/$B$6)</f>
        <v/>
      </c>
      <c r="D47" s="13">
        <f>IF($A47="","",E46*$B$9)</f>
        <v/>
      </c>
      <c r="E47" s="13">
        <f>IF($A47="","",E46-C47)</f>
        <v/>
      </c>
    </row>
    <row r="48">
      <c r="A48">
        <f>IF(ROW()-36&lt;=$B$6,ROW()-36,"")</f>
        <v/>
      </c>
      <c r="B48" s="13">
        <f>IF($A48="","",C48+D48)</f>
        <v/>
      </c>
      <c r="C48" s="13">
        <f>IF($A48="","",$B$4/$B$6)</f>
        <v/>
      </c>
      <c r="D48" s="13">
        <f>IF($A48="","",E47*$B$9)</f>
        <v/>
      </c>
      <c r="E48" s="13">
        <f>IF($A48="","",E47-C48)</f>
        <v/>
      </c>
    </row>
    <row r="50">
      <c r="A50" s="11" t="inlineStr">
        <is>
          <t>※ 실제 은행 상환액은 대출실행일부터 첫 상환일까지의 일수, 거치기간 유무에 따라 며칠 단위 오차가 날 수 있습니다. 반드시 은행 앱 실제 스케줄과 대조하세요.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2026-09-23T21:20:46Z</dcterms:created>
  <dcterms:modified xsi:type="dcterms:W3CDTF">2026-09-23T21:20:46Z</dcterms:modified>
</cp:coreProperties>
</file>