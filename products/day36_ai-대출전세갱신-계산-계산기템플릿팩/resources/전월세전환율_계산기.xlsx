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전환율 기준표" sheetId="2" state="visible" r:id="rId2"/>
    <sheet name="계산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6">
    <font>
      <name val="Calibri"/>
      <family val="2"/>
      <color theme="1"/>
      <sz val="11"/>
      <scheme val="minor"/>
    </font>
    <font>
      <b val="1"/>
      <color rgb="FF262C3D"/>
      <sz val="13"/>
    </font>
    <font>
      <b val="1"/>
      <color rgb="FF262C3D"/>
    </font>
    <font>
      <color rgb="FF262C3D"/>
    </font>
    <font>
      <color rgb="FF565F72"/>
      <sz val="10"/>
    </font>
    <font>
      <b val="1"/>
      <color rgb="FFFFFFFF"/>
    </font>
  </fonts>
  <fills count="5">
    <fill>
      <patternFill/>
    </fill>
    <fill>
      <patternFill patternType="gray125"/>
    </fill>
    <fill>
      <patternFill patternType="solid">
        <fgColor rgb="FFB87F1F"/>
      </patternFill>
    </fill>
    <fill>
      <patternFill patternType="solid">
        <fgColor rgb="FFFFF6D9"/>
      </patternFill>
    </fill>
    <fill>
      <patternFill patternType="solid">
        <fgColor rgb="FFE3E6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164" fontId="0" fillId="3" borderId="0" pivotButton="0" quotePrefix="0" xfId="0"/>
    <xf numFmtId="10" fontId="0" fillId="3" borderId="0" pivotButton="0" quotePrefix="0" xfId="0"/>
    <xf numFmtId="0" fontId="0" fillId="3" borderId="0" pivotButton="0" quotePrefix="0" xfId="0"/>
    <xf numFmtId="164" fontId="2" fillId="4" borderId="0" pivotButton="0" quotePrefix="0" xfId="0"/>
    <xf numFmtId="10" fontId="2" fillId="4" borderId="0" pivotButton="0" quotePrefix="0" xfId="0"/>
    <xf numFmtId="0" fontId="2" fillId="4" borderId="0" pivotButton="0" quotePrefix="0" xfId="0"/>
    <xf numFmtId="164" fontId="0" fillId="0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4"/>
  <sheetViews>
    <sheetView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2">
      <c r="B2" s="1" t="inlineStr">
        <is>
          <t>전월세전환율 계산기</t>
        </is>
      </c>
    </row>
    <row r="4">
      <c r="B4" s="2" t="inlineStr">
        <is>
          <t>⚠ 사용 전 꼭 읽어주세요</t>
        </is>
      </c>
    </row>
    <row r="5" ht="40" customHeight="1">
      <c r="B5" s="3" t="inlineStr">
        <is>
          <t>본 계산기는 보증금을 월세로 전환할 때의 월세액을 가늠해보는 참고용 도구입니다. 법률 자문이 아니며, 법정 상한은 기존 임대차 계약의 '갱신' 시에만 강제 적용되고 신규 계약에는 적용되지 않습니다.</t>
        </is>
      </c>
    </row>
    <row r="6" ht="40" customHeight="1">
      <c r="B6" s="3" t="inlineStr">
        <is>
          <t>한국은행 기준금리는 수시로 바뀌므로, 법정 상한 계산 전 반드시 최신 기준금리를 확인하세요. (기준: 2026년 9월 확인)</t>
        </is>
      </c>
    </row>
    <row r="8">
      <c r="B8" s="2" t="inlineStr">
        <is>
          <t>사용법</t>
        </is>
      </c>
    </row>
    <row r="9">
      <c r="B9" s="4" t="inlineStr">
        <is>
          <t>① '전환율 기준표' 시트에서 법정 상한 공식과 최근 시장 평균 전환율 참고치를 확인</t>
        </is>
      </c>
    </row>
    <row r="10">
      <c r="B10" s="4" t="inlineStr">
        <is>
          <t>② '계산기' 시트의 노란색 칸에 줄이는 보증금, 적용 전환율, 계약 구분(신규/갱신), 한국은행 기준금리를 입력</t>
        </is>
      </c>
    </row>
    <row r="11">
      <c r="B11" s="4" t="inlineStr">
        <is>
          <t>③ 올리브색 칸에서 월세, 법정 상한 월세, 적법 여부 판정을 확인</t>
        </is>
      </c>
    </row>
    <row r="12">
      <c r="B12" s="4" t="inlineStr">
        <is>
          <t>④ 하단 시뮬레이션표에서 보증금 감액 구간별 월세 변화를 비교</t>
        </is>
      </c>
    </row>
    <row r="14" ht="55" customHeight="1">
      <c r="B14" s="5" t="inlineStr">
        <is>
          <t>신규 계약에는 법정 상한이 강제되지 않는다는 점을 상담 시 가장 먼저 설명하세요. '왜 시세가 법정 상한보다 높은지' 오해를 예방합니다.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45" customWidth="1" min="2" max="2"/>
    <col width="30" customWidth="1" min="3" max="3"/>
  </cols>
  <sheetData>
    <row r="1">
      <c r="A1" s="6" t="inlineStr">
        <is>
          <t>구분</t>
        </is>
      </c>
      <c r="B1" s="6" t="inlineStr">
        <is>
          <t>공식/기준</t>
        </is>
      </c>
      <c r="C1" s="6" t="inlineStr">
        <is>
          <t>비고</t>
        </is>
      </c>
    </row>
    <row r="2">
      <c r="A2" t="inlineStr">
        <is>
          <t>전환 월세 공식</t>
        </is>
      </c>
      <c r="B2" s="7" t="inlineStr">
        <is>
          <t>월세 = 줄이는 보증금 × 전환율 ÷ 12</t>
        </is>
      </c>
      <c r="C2" s="8" t="inlineStr">
        <is>
          <t>전환율은 연 기준(%)</t>
        </is>
      </c>
    </row>
    <row r="3">
      <c r="A3" t="inlineStr">
        <is>
          <t>법정 상한(갱신 계약 한정)</t>
        </is>
      </c>
      <c r="B3" s="7" t="inlineStr">
        <is>
          <t>MIN(한국은행 기준금리 + 2%p, 연 10%)</t>
        </is>
      </c>
      <c r="C3" s="8" t="inlineStr">
        <is>
          <t>신규 계약에는 적용되지 않음</t>
        </is>
      </c>
    </row>
    <row r="4">
      <c r="A4" t="inlineStr">
        <is>
          <t>최근 시장 평균 전환율(참고)</t>
        </is>
      </c>
      <c r="B4" s="7" t="inlineStr">
        <is>
          <t>지역·시기에 따라 대략 연 4.5~6.5% 수준</t>
        </is>
      </c>
      <c r="C4" s="8" t="inlineStr">
        <is>
          <t>반드시 최신 통계로 재확인, 지역별 편차 큼</t>
        </is>
      </c>
    </row>
    <row r="6">
      <c r="A6" s="8" t="inlineStr">
        <is>
          <t>※ 기준금리·시장 평균 전환율은 수시로 바뀝니다. 상담 전 한국은행 기준금리와 최신 지역별 통계를 반드시 재확인하세요.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전월세전환율 계산기</t>
        </is>
      </c>
    </row>
    <row r="3">
      <c r="A3" s="2" t="inlineStr">
        <is>
          <t>① 조건 입력</t>
        </is>
      </c>
    </row>
    <row r="4">
      <c r="A4" s="4" t="inlineStr">
        <is>
          <t>줄이는 보증금</t>
        </is>
      </c>
      <c r="B4" s="9" t="n">
        <v>50000000</v>
      </c>
    </row>
    <row r="5">
      <c r="A5" s="4" t="inlineStr">
        <is>
          <t>적용 전환율(협의한 값)</t>
        </is>
      </c>
      <c r="B5" s="10" t="n">
        <v>0.055</v>
      </c>
    </row>
    <row r="6">
      <c r="A6" s="4" t="inlineStr">
        <is>
          <t>계약 구분 (신규 / 갱신)</t>
        </is>
      </c>
      <c r="B6" s="11" t="inlineStr">
        <is>
          <t>갱신</t>
        </is>
      </c>
    </row>
    <row r="7">
      <c r="A7" s="4" t="inlineStr">
        <is>
          <t>한국은행 기준금리(연)</t>
        </is>
      </c>
      <c r="B7" s="10" t="n">
        <v>0.03</v>
      </c>
    </row>
    <row r="9">
      <c r="A9" s="2" t="inlineStr">
        <is>
          <t>② 계산 결과</t>
        </is>
      </c>
    </row>
    <row r="10">
      <c r="A10" s="4" t="inlineStr">
        <is>
          <t>월세(전환 결과)</t>
        </is>
      </c>
      <c r="B10" s="12">
        <f>ROUND(B4*B5/12,0)</f>
        <v/>
      </c>
    </row>
    <row r="11">
      <c r="A11" s="4" t="inlineStr">
        <is>
          <t>법정 상한 전환율</t>
        </is>
      </c>
      <c r="B11" s="13">
        <f>MIN(B7+0.02,0.1)</f>
        <v/>
      </c>
    </row>
    <row r="12">
      <c r="A12" s="4" t="inlineStr">
        <is>
          <t>법정 상한 월세</t>
        </is>
      </c>
      <c r="B12" s="12">
        <f>ROUND(B4*B11/12,0)</f>
        <v/>
      </c>
    </row>
    <row r="13">
      <c r="A13" s="4" t="inlineStr">
        <is>
          <t>적법 여부 판정</t>
        </is>
      </c>
      <c r="B13" s="14">
        <f>IF(B6="갱신",IF(B5&gt;B11,"상한 초과 — 협상 필요","적법 범위"),"신규계약 — 법정상한 미적용(협상)")</f>
        <v/>
      </c>
    </row>
    <row r="15">
      <c r="A15" s="2" t="inlineStr">
        <is>
          <t>③ 보증금 감액 구간별 월세 시뮬레이션 (적용 전환율 기준)</t>
        </is>
      </c>
    </row>
    <row r="16">
      <c r="A16" s="6" t="inlineStr">
        <is>
          <t>줄이는 보증금</t>
        </is>
      </c>
      <c r="B16" s="6" t="inlineStr">
        <is>
          <t>월세(적용 전환율)</t>
        </is>
      </c>
      <c r="C16" s="6" t="inlineStr">
        <is>
          <t>월세(법정 상한 전환율)</t>
        </is>
      </c>
    </row>
    <row r="17">
      <c r="A17" s="15" t="n">
        <v>10000000</v>
      </c>
      <c r="B17" s="16">
        <f>ROUND(A17*$B$5/12,0)</f>
        <v/>
      </c>
      <c r="C17" s="16">
        <f>ROUND(A17*$B$11/12,0)</f>
        <v/>
      </c>
    </row>
    <row r="18">
      <c r="A18" s="15" t="n">
        <v>30000000</v>
      </c>
      <c r="B18" s="16">
        <f>ROUND(A18*$B$5/12,0)</f>
        <v/>
      </c>
      <c r="C18" s="16">
        <f>ROUND(A18*$B$11/12,0)</f>
        <v/>
      </c>
    </row>
    <row r="19">
      <c r="A19" s="15" t="n">
        <v>50000000</v>
      </c>
      <c r="B19" s="16">
        <f>ROUND(A19*$B$5/12,0)</f>
        <v/>
      </c>
      <c r="C19" s="16">
        <f>ROUND(A19*$B$11/12,0)</f>
        <v/>
      </c>
    </row>
    <row r="20">
      <c r="A20" s="15" t="n">
        <v>70000000</v>
      </c>
      <c r="B20" s="16">
        <f>ROUND(A20*$B$5/12,0)</f>
        <v/>
      </c>
      <c r="C20" s="16">
        <f>ROUND(A20*$B$11/12,0)</f>
        <v/>
      </c>
    </row>
    <row r="21">
      <c r="A21" s="15" t="n">
        <v>100000000</v>
      </c>
      <c r="B21" s="16">
        <f>ROUND(A21*$B$5/12,0)</f>
        <v/>
      </c>
      <c r="C21" s="16">
        <f>ROUND(A21*$B$11/12,0)</f>
        <v/>
      </c>
    </row>
    <row r="23">
      <c r="A23" s="8" t="inlineStr">
        <is>
          <t>※ B6에는 '신규' 또는 '갱신'만 입력하세요. 법정 상한(B11)은 갱신 계약에만 강제 적용됩니다.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2026-09-23T21:20:46Z</dcterms:created>
  <dcterms:modified xsi:type="dcterms:W3CDTF">2026-09-23T21:20:46Z</dcterms:modified>
</cp:coreProperties>
</file>