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4" fontId="0" fillId="2" borderId="0" pivotButton="0" quotePrefix="0" xfId="0"/>
    <xf numFmtId="10" fontId="0" fillId="2" borderId="0" pivotButton="0" quotePrefix="0" xfId="0"/>
    <xf numFmtId="165" fontId="2" fillId="3" borderId="0" pivotButton="0" quotePrefix="0" xfId="0"/>
    <xf numFmtId="164" fontId="2" fillId="3" borderId="0" pivotButton="0" quotePrefix="0" xfId="0"/>
    <xf numFmtId="0" fontId="2" fillId="3" borderId="0" pivotButton="0" quotePrefix="0" xfId="0"/>
    <xf numFmtId="0" fontId="5" fillId="4" borderId="0" pivotButton="0" quotePrefix="0" xfId="0"/>
    <xf numFmtId="164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전세 갱신 상한 계산기</t>
        </is>
      </c>
    </row>
    <row r="4">
      <c r="B4" s="2" t="inlineStr">
        <is>
          <t>⚠ 사용 전 꼭 읽어주세요</t>
        </is>
      </c>
    </row>
    <row r="5" ht="40" customHeight="1">
      <c r="B5" s="3" t="inlineStr">
        <is>
          <t>본 계산기는 갱신청구권 사용 시 법정 인상률 상한(5%)을 기준으로 적법 여부를 가늠해보는 참고용 도구입니다. 법률 자문이 아니며, 임대인의 실거주 등 예외 사유나 개별 계약 조건에 따라 실제 결과는 달라질 수 있습니다.</t>
        </is>
      </c>
    </row>
    <row r="6" ht="40" customHeight="1">
      <c r="B6" s="3" t="inlineStr">
        <is>
          <t>갱신청구권은 계약 기간 중 1회만 사용할 수 있습니다. 정확한 법적 판단이 필요한 경우 반드시 주택임대차분쟁조정위원회 또는 전문가 상담을 안내하세요. (기준: 2026년 9월 확인)</t>
        </is>
      </c>
    </row>
    <row r="8">
      <c r="B8" s="2" t="inlineStr">
        <is>
          <t>사용법</t>
        </is>
      </c>
    </row>
    <row r="9">
      <c r="B9" s="4" t="inlineStr">
        <is>
          <t>① '계산기' 시트의 노란색 칸에 기존 보증금과 집주인이 요구한 인상액을 입력</t>
        </is>
      </c>
    </row>
    <row r="10">
      <c r="B10" s="4" t="inlineStr">
        <is>
          <t>② 올리브색 칸에서 인상 가능 최대 금액, 적법 여부, 초과 금액을 확인</t>
        </is>
      </c>
    </row>
    <row r="11">
      <c r="B11" s="4" t="inlineStr">
        <is>
          <t>③ 하단 '인상분 분산 시나리오' 표에서 보증금/월세 분산 조합별 초기 부담·월 부담을 비교</t>
        </is>
      </c>
    </row>
    <row r="13" ht="55" customHeight="1">
      <c r="B13" s="5" t="inlineStr">
        <is>
          <t>이 계산기는 '적법 범위'까지만 계산합니다. '갱신해야 한다/말아야 한다'는 최종 판단은 항상 고객 본인의 몫으로 남겨두고, 계산 결과만 명확히 전달하세요.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전세 갱신 상한 계산기</t>
        </is>
      </c>
    </row>
    <row r="3">
      <c r="A3" s="2" t="inlineStr">
        <is>
          <t>① 조건 입력</t>
        </is>
      </c>
    </row>
    <row r="4">
      <c r="A4" s="4" t="inlineStr">
        <is>
          <t>기존 보증금</t>
        </is>
      </c>
      <c r="B4" s="6" t="n">
        <v>300000000</v>
      </c>
    </row>
    <row r="5">
      <c r="A5" s="4" t="inlineStr">
        <is>
          <t>집주인 요구 인상액</t>
        </is>
      </c>
      <c r="B5" s="6" t="n">
        <v>20000000</v>
      </c>
    </row>
    <row r="6">
      <c r="A6" s="4" t="inlineStr">
        <is>
          <t>인상분 중 월세로 전환할 때 적용 전환율(연, 참고)</t>
        </is>
      </c>
      <c r="B6" s="7" t="n">
        <v>0.055</v>
      </c>
    </row>
    <row r="8">
      <c r="A8" s="2" t="inlineStr">
        <is>
          <t>② 계산 결과</t>
        </is>
      </c>
    </row>
    <row r="9">
      <c r="A9" s="4" t="inlineStr">
        <is>
          <t>갱신청구권 인상률 상한</t>
        </is>
      </c>
      <c r="B9" s="8">
        <f>0.05</f>
        <v/>
      </c>
    </row>
    <row r="10">
      <c r="A10" s="4" t="inlineStr">
        <is>
          <t>인상 가능 최대 금액</t>
        </is>
      </c>
      <c r="B10" s="9">
        <f>ROUND(B4*B9,0)</f>
        <v/>
      </c>
    </row>
    <row r="11">
      <c r="A11" s="4" t="inlineStr">
        <is>
          <t>적법 여부 판정</t>
        </is>
      </c>
      <c r="B11" s="10">
        <f>IF(B5&lt;=B10,"적법 범위","상한 초과 — 협상 필요")</f>
        <v/>
      </c>
    </row>
    <row r="12">
      <c r="A12" s="4" t="inlineStr">
        <is>
          <t>상한 초과 금액</t>
        </is>
      </c>
      <c r="B12" s="9">
        <f>MAX(0,B5-B10)</f>
        <v/>
      </c>
    </row>
    <row r="14">
      <c r="A14" s="2" t="inlineStr">
        <is>
          <t>③ 인상분 분산 시나리오 비교 (인상 가능 최대 금액 기준)</t>
        </is>
      </c>
    </row>
    <row r="15">
      <c r="A15" s="11" t="inlineStr">
        <is>
          <t>시나리오</t>
        </is>
      </c>
      <c r="B15" s="11" t="inlineStr">
        <is>
          <t>보증금으로 낼 금액</t>
        </is>
      </c>
      <c r="C15" s="11" t="inlineStr">
        <is>
          <t>월세 전환분</t>
        </is>
      </c>
      <c r="D15" s="11" t="inlineStr">
        <is>
          <t>초기 목돈 부담</t>
        </is>
      </c>
      <c r="E15" s="11" t="inlineStr">
        <is>
          <t>월 부담 증가</t>
        </is>
      </c>
    </row>
    <row r="16">
      <c r="A16" t="inlineStr">
        <is>
          <t>A. 전액 보증금으로</t>
        </is>
      </c>
      <c r="B16" s="12">
        <f>$B$10</f>
        <v/>
      </c>
      <c r="C16" s="12" t="n">
        <v>0</v>
      </c>
      <c r="D16" s="12">
        <f>B16</f>
        <v/>
      </c>
      <c r="E16" s="9">
        <f>ROUND(C16*$B$6/12,0)</f>
        <v/>
      </c>
    </row>
    <row r="17">
      <c r="A17" t="inlineStr">
        <is>
          <t>B. 절반은 보증금, 절반은 월세 전환</t>
        </is>
      </c>
      <c r="B17" s="12">
        <f>$B$10/2</f>
        <v/>
      </c>
      <c r="C17" s="12">
        <f>$B$10/2</f>
        <v/>
      </c>
      <c r="D17" s="12">
        <f>B17</f>
        <v/>
      </c>
      <c r="E17" s="9">
        <f>ROUND(C17*$B$6/12,0)</f>
        <v/>
      </c>
    </row>
    <row r="18">
      <c r="A18" t="inlineStr">
        <is>
          <t>C. 전액 월세로 전환</t>
        </is>
      </c>
      <c r="B18" s="12" t="n">
        <v>0</v>
      </c>
      <c r="C18" s="12">
        <f>$B$10</f>
        <v/>
      </c>
      <c r="D18" s="12">
        <f>B18</f>
        <v/>
      </c>
      <c r="E18" s="9">
        <f>ROUND(C18*$B$6/12,0)</f>
        <v/>
      </c>
    </row>
    <row r="20">
      <c r="A20" s="13" t="inlineStr">
        <is>
          <t>※ 갱신청구권은 계약 기간 중 1회만 사용 가능하며, 임대인의 실거주 등 예외 사유가 있을 수 있습니다. 상담 시 반드시 함께 안내하세요.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2026-09-23T21:20:46Z</dcterms:created>
  <dcterms:modified xsi:type="dcterms:W3CDTF">2026-09-23T21:20:46Z</dcterms:modified>
</cp:coreProperties>
</file>