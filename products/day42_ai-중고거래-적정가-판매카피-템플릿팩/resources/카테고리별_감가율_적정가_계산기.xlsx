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기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  <sz val="11"/>
    </font>
    <font>
      <color rgb="FF565F72"/>
      <sz val="10"/>
    </font>
    <font>
      <b val="1"/>
      <color rgb="FFFFFFFF"/>
    </font>
    <font>
      <color rgb="FF262C3D"/>
    </font>
    <font>
      <b val="1"/>
      <color rgb="FF262C3D"/>
    </font>
  </fonts>
  <fills count="6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1E3C4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3" fontId="5" fillId="4" borderId="0" pivotButton="0" quotePrefix="0" xfId="0"/>
    <xf numFmtId="9" fontId="5" fillId="4" borderId="0" pivotButton="0" quotePrefix="0" xfId="0"/>
    <xf numFmtId="3" fontId="6" fillId="5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카테고리별 감가율 · 적정가 계산기</t>
        </is>
      </c>
    </row>
    <row r="3">
      <c r="A3" s="2" t="inlineStr">
        <is>
          <t>① 카테고리별 감가율 참고표 (연차별, 참고용)</t>
        </is>
      </c>
    </row>
    <row r="4">
      <c r="A4" s="3" t="inlineStr">
        <is>
          <t>카테고리</t>
        </is>
      </c>
      <c r="B4" s="3" t="inlineStr">
        <is>
          <t>1년차</t>
        </is>
      </c>
      <c r="C4" s="3" t="inlineStr">
        <is>
          <t>2년차</t>
        </is>
      </c>
      <c r="D4" s="3" t="inlineStr">
        <is>
          <t>3년차</t>
        </is>
      </c>
      <c r="E4" s="3" t="inlineStr">
        <is>
          <t>4년차 이후</t>
        </is>
      </c>
      <c r="F4" s="3" t="inlineStr">
        <is>
          <t>비고</t>
        </is>
      </c>
    </row>
    <row r="5">
      <c r="A5" s="4" t="inlineStr">
        <is>
          <t>전자기기(노트북·폰·가전)</t>
        </is>
      </c>
      <c r="B5" s="4" t="inlineStr">
        <is>
          <t>20~30%</t>
        </is>
      </c>
      <c r="C5" s="4" t="inlineStr">
        <is>
          <t>35~45%</t>
        </is>
      </c>
      <c r="D5" s="4" t="inlineStr">
        <is>
          <t>45~55%</t>
        </is>
      </c>
      <c r="E5" s="4" t="inlineStr">
        <is>
          <t>매년 +8~12%p</t>
        </is>
      </c>
      <c r="F5" s="4" t="inlineStr">
        <is>
          <t>신모델 출시 시점에 급락</t>
        </is>
      </c>
    </row>
    <row r="6">
      <c r="A6" s="5" t="inlineStr">
        <is>
          <t>가구·인테리어</t>
        </is>
      </c>
      <c r="B6" s="5" t="inlineStr">
        <is>
          <t>15~20%</t>
        </is>
      </c>
      <c r="C6" s="5" t="inlineStr">
        <is>
          <t>25~30%</t>
        </is>
      </c>
      <c r="D6" s="5" t="inlineStr">
        <is>
          <t>30~40%</t>
        </is>
      </c>
      <c r="E6" s="5" t="inlineStr">
        <is>
          <t>매년 +5~8%p</t>
        </is>
      </c>
      <c r="F6" s="5" t="inlineStr">
        <is>
          <t>원목·수입 브랜드는 완만</t>
        </is>
      </c>
    </row>
    <row r="7">
      <c r="A7" s="4" t="inlineStr">
        <is>
          <t>의류·신발</t>
        </is>
      </c>
      <c r="B7" s="4" t="inlineStr">
        <is>
          <t>30~40%</t>
        </is>
      </c>
      <c r="C7" s="4" t="inlineStr">
        <is>
          <t>50~60%</t>
        </is>
      </c>
      <c r="D7" s="4" t="inlineStr">
        <is>
          <t>60~70%</t>
        </is>
      </c>
      <c r="E7" s="4" t="inlineStr">
        <is>
          <t>사실상 소액</t>
        </is>
      </c>
      <c r="F7" s="4" t="inlineStr">
        <is>
          <t>유행·시즌 민감, 한정판 예외</t>
        </is>
      </c>
    </row>
    <row r="8">
      <c r="A8" s="5" t="inlineStr">
        <is>
          <t>유아용품</t>
        </is>
      </c>
      <c r="B8" s="5" t="inlineStr">
        <is>
          <t>20~25%</t>
        </is>
      </c>
      <c r="C8" s="5" t="inlineStr">
        <is>
          <t>35~40%</t>
        </is>
      </c>
      <c r="D8" s="5" t="inlineStr">
        <is>
          <t>45~50%</t>
        </is>
      </c>
      <c r="E8" s="5" t="inlineStr">
        <is>
          <t>매년 +5~10%p</t>
        </is>
      </c>
      <c r="F8" s="5" t="inlineStr">
        <is>
          <t>안전 이슈 있으면 감가 가속</t>
        </is>
      </c>
    </row>
    <row r="9">
      <c r="A9" s="4" t="inlineStr">
        <is>
          <t>명품·잡화</t>
        </is>
      </c>
      <c r="B9" s="4" t="inlineStr">
        <is>
          <t>10~15%</t>
        </is>
      </c>
      <c r="C9" s="4" t="inlineStr">
        <is>
          <t>15~20%</t>
        </is>
      </c>
      <c r="D9" s="4" t="inlineStr">
        <is>
          <t>20~25%</t>
        </is>
      </c>
      <c r="E9" s="4" t="inlineStr">
        <is>
          <t>매년 +3~5%p</t>
        </is>
      </c>
      <c r="F9" s="4" t="inlineStr">
        <is>
          <t>단종·한정판은 프리미엄 가능</t>
        </is>
      </c>
    </row>
    <row r="11">
      <c r="A11" s="2" t="inlineStr">
        <is>
          <t>② 물건 정보 입력</t>
        </is>
      </c>
    </row>
    <row r="12">
      <c r="A12" s="4" t="inlineStr">
        <is>
          <t>카테고리 (위 표에서 선택)</t>
        </is>
      </c>
      <c r="B12" s="6" t="inlineStr">
        <is>
          <t>전자기기(노트북·폰·가전)</t>
        </is>
      </c>
    </row>
    <row r="13">
      <c r="A13" s="4" t="inlineStr">
        <is>
          <t>기준가 — 신품 정가 또는 구매가(원)</t>
        </is>
      </c>
      <c r="B13" s="6" t="n">
        <v>1500000</v>
      </c>
    </row>
    <row r="14">
      <c r="A14" s="4" t="inlineStr">
        <is>
          <t>적용 감가율(%) — 위 표에서 경과 연차에 맞게 확인 후 입력</t>
        </is>
      </c>
      <c r="B14" s="7" t="n">
        <v>0.35</v>
      </c>
    </row>
    <row r="15">
      <c r="A15" s="4" t="inlineStr">
        <is>
          <t>상태 감점(%) — 상 0% / 중 5~10% / 하 15~25%</t>
        </is>
      </c>
      <c r="B15" s="7" t="n">
        <v>0.08</v>
      </c>
    </row>
    <row r="16">
      <c r="A16" s="4" t="inlineStr">
        <is>
          <t>구성품 감점(%) — 박스·충전기 등 누락 시 5~10%</t>
        </is>
      </c>
      <c r="B16" s="7" t="n">
        <v>0.03</v>
      </c>
    </row>
    <row r="17">
      <c r="A17" s="4" t="inlineStr">
        <is>
          <t>희소성 가점(%) — 단종·한정판·인기색상 등 0~15%</t>
        </is>
      </c>
      <c r="B17" s="7" t="n">
        <v>0</v>
      </c>
    </row>
    <row r="19">
      <c r="A19" s="2" t="inlineStr">
        <is>
          <t>③ 계산 결과</t>
        </is>
      </c>
    </row>
    <row r="20">
      <c r="A20" s="4" t="inlineStr">
        <is>
          <t>감가 적용가 (기준가 × (1−감가율))</t>
        </is>
      </c>
      <c r="B20" s="8">
        <f>B13*(1-B14)</f>
        <v/>
      </c>
    </row>
    <row r="21">
      <c r="A21" s="4" t="inlineStr">
        <is>
          <t>상태 감점액</t>
        </is>
      </c>
      <c r="B21" s="8">
        <f>B20*B15</f>
        <v/>
      </c>
    </row>
    <row r="22">
      <c r="A22" s="4" t="inlineStr">
        <is>
          <t>구성품 감점액</t>
        </is>
      </c>
      <c r="B22" s="8">
        <f>B20*B16</f>
        <v/>
      </c>
    </row>
    <row r="23">
      <c r="A23" s="4" t="inlineStr">
        <is>
          <t>희소성 가점액</t>
        </is>
      </c>
      <c r="B23" s="8">
        <f>B20*B17</f>
        <v/>
      </c>
    </row>
    <row r="24">
      <c r="A24" s="4" t="inlineStr">
        <is>
          <t>최종 적정가 (감가적용가 − 상태감점 − 구성품감점 + 희소성가점)</t>
        </is>
      </c>
      <c r="B24" s="8">
        <f>B20-B21-B22+B23</f>
        <v/>
      </c>
    </row>
    <row r="25">
      <c r="A25" s="4" t="inlineStr">
        <is>
          <t>네고 여지 포함 등록가 (적정가 × 1.075)</t>
        </is>
      </c>
      <c r="B25" s="8">
        <f>B24*1.075</f>
        <v/>
      </c>
      <c r="C25" s="9" t="inlineStr">
        <is>
          <t>이 값을 '시세밴드_등록가_계산기.xlsx'의 실거래가 리서치와 대조해 최종 등록가를 확정하세요.</t>
        </is>
      </c>
    </row>
    <row r="26"/>
  </sheetData>
  <mergeCells count="1">
    <mergeCell ref="C25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카테고리별 감가율 · 적정가 계산기</t>
        </is>
      </c>
    </row>
    <row r="4">
      <c r="B4" s="2" t="inlineStr">
        <is>
          <t>⚠ 사용 전 꼭 읽어주세요</t>
        </is>
      </c>
    </row>
    <row r="5" ht="28" customHeight="1">
      <c r="B5" s="9" t="inlineStr">
        <is>
          <t>본 계산기는 카테고리별 일반적인 감가율 감각을 바탕으로 중고 물건의 참고 적정가를 계산하는 도구입니다. 감정평가나 판매가 보장이 아닙니다.</t>
        </is>
      </c>
    </row>
    <row r="6" ht="28" customHeight="1">
      <c r="B6" s="9" t="inlineStr">
        <is>
          <t>감가율은 시장 상황과 모델에 따라 달라질 수 있으므로, 반드시 '②' 시세밴드_등록가_계산기.xlsx의 실거래가 리서치와 함께 대조해서 사용하세요. (기준: 2026년 9월 확인)</t>
        </is>
      </c>
    </row>
    <row r="8">
      <c r="B8" s="2" t="inlineStr">
        <is>
          <t>사용법</t>
        </is>
      </c>
    </row>
    <row r="9">
      <c r="B9" s="10" t="inlineStr">
        <is>
          <t>① '계산기' 시트의 카테고리별 감가율 참고표에서 물건 카테고리·경과 연차에 맞는 감가율(%)을 확인</t>
        </is>
      </c>
    </row>
    <row r="10">
      <c r="B10" s="10" t="inlineStr">
        <is>
          <t>② 노란색 칸에 기준가(신품가/구매가), 적용 감가율(%), 상태 감점(%), 구성품 감점(%), 희소성 가점(%)을 입력</t>
        </is>
      </c>
    </row>
    <row r="11">
      <c r="B11" s="10" t="inlineStr">
        <is>
          <t>③ 올리브색 칸에서 감가 적용가 → 최종 적정가 → 네고 여지 포함 등록가까지 자동 계산</t>
        </is>
      </c>
    </row>
    <row r="12">
      <c r="B12" s="10" t="inlineStr">
        <is>
          <t>④ 계산된 등록가는 '시세밴드_등록가_계산기.xlsx'의 실거래가 리서치 결과와 반드시 교차검증</t>
        </is>
      </c>
    </row>
    <row r="14" ht="30" customHeight="1">
      <c r="B14" s="9" t="inlineStr">
        <is>
          <t>적정가는 '이 조건이면 이 가격대가 합리적이다'라는 리서치용 참고치입니다. 실제 거래가는 수요·타이밍·지역에 따라 달라질 수 있다는 점을 의뢰인에게 항상 함께 안내하세요.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2026-09-29T21:24:30Z</dcterms:created>
  <dcterms:modified xsi:type="dcterms:W3CDTF">2026-09-29T21:24:30Z</dcterms:modified>
</cp:coreProperties>
</file>