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단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  <sz val="11"/>
    </font>
    <font>
      <color rgb="FF565F72"/>
      <sz val="10"/>
    </font>
    <font>
      <color rgb="FF262C3D"/>
    </font>
    <font>
      <b val="1"/>
      <color rgb="FF262C3D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3" fontId="4" fillId="2" borderId="0" pivotButton="0" quotePrefix="0" xfId="0"/>
    <xf numFmtId="3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가격 재조정 · 끌올 판단표</t>
        </is>
      </c>
    </row>
    <row r="4">
      <c r="B4" s="2" t="inlineStr">
        <is>
          <t>⚠ 사용 전 꼭 읽어주세요</t>
        </is>
      </c>
    </row>
    <row r="5" ht="28" customHeight="1">
      <c r="B5" s="3" t="inlineStr">
        <is>
          <t>본 표는 게시 후 반응(조회수·채팅·찜)을 근거로 가격 인하 시점을 판단하는 참고용 도구입니다. 조회수·판매 시점을 보장하지 않습니다.</t>
        </is>
      </c>
    </row>
    <row r="6" ht="28" customHeight="1">
      <c r="B6" s="3" t="inlineStr">
        <is>
          <t>인하율(5~10%)은 중고거래에서 흔히 쓰이는 관행 범위이며, 물건·시즌에 따라 조정될 수 있습니다. (기준: 2026년 9월 확인)</t>
        </is>
      </c>
    </row>
    <row r="8">
      <c r="B8" s="2" t="inlineStr">
        <is>
          <t>사용법</t>
        </is>
      </c>
    </row>
    <row r="9">
      <c r="B9" s="4" t="inlineStr">
        <is>
          <t>① '판단표' 시트 노란색 칸에 게시 경과일수, 조회수, 채팅 문의 수, 찜 수를 입력</t>
        </is>
      </c>
    </row>
    <row r="10">
      <c r="B10" s="4" t="inlineStr">
        <is>
          <t>② 자동으로 뜨는 신호 판정 결과를 확인 — 신호가 2개 이상 뜨면 가격 재조정을 적극 검토</t>
        </is>
      </c>
    </row>
    <row r="11">
      <c r="B11" s="4" t="inlineStr">
        <is>
          <t>③ 현재 등록가를 입력하면 1차·2차 인하가와 네고 마지노선까지 자동 계산</t>
        </is>
      </c>
    </row>
    <row r="12">
      <c r="B12" s="4" t="inlineStr">
        <is>
          <t>④ 인하할 때마다 판매글 제목·첫 문장도 함께 갱신해 새 매물처럼 보이도록 안내</t>
        </is>
      </c>
    </row>
    <row r="14" ht="30" customHeight="1">
      <c r="B14" s="3" t="inlineStr">
        <is>
          <t>최종 인하 여부와 폭은 항상 의뢰인이 결정하도록 안내하고, 계산 결과는 판단을 돕는 참고 신호로만 제시하세요.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</cols>
  <sheetData>
    <row r="1">
      <c r="A1" s="1" t="inlineStr">
        <is>
          <t>가격 재조정 신호 판단표</t>
        </is>
      </c>
    </row>
    <row r="3">
      <c r="A3" s="2" t="inlineStr">
        <is>
          <t>① 게시 반응 입력</t>
        </is>
      </c>
    </row>
    <row r="4">
      <c r="A4" s="5" t="inlineStr">
        <is>
          <t>게시 후 경과일수</t>
        </is>
      </c>
      <c r="B4" s="6" t="n">
        <v>10</v>
      </c>
    </row>
    <row r="5">
      <c r="A5" s="5" t="inlineStr">
        <is>
          <t>조회수</t>
        </is>
      </c>
      <c r="B5" s="6" t="n">
        <v>45</v>
      </c>
    </row>
    <row r="6">
      <c r="A6" s="5" t="inlineStr">
        <is>
          <t>채팅 문의 수</t>
        </is>
      </c>
      <c r="B6" s="6" t="n">
        <v>0</v>
      </c>
    </row>
    <row r="7">
      <c r="A7" s="5" t="inlineStr">
        <is>
          <t>찜 수</t>
        </is>
      </c>
      <c r="B7" s="6" t="n">
        <v>12</v>
      </c>
    </row>
    <row r="9">
      <c r="A9" s="2" t="inlineStr">
        <is>
          <t>② 신호 판정 (자동)</t>
        </is>
      </c>
    </row>
    <row r="10" ht="28" customHeight="1">
      <c r="A10" s="5" t="inlineStr">
        <is>
          <t>신호 1 — 채팅 저조</t>
        </is>
      </c>
      <c r="B10" s="7">
        <f>IF(AND(B4&gt;=7,B6=0),"⚠ 가격 저항 의심 — 인하 검토","정상")</f>
        <v/>
      </c>
      <c r="C10" s="3" t="inlineStr">
        <is>
          <t>7일 이상 경과했는데 채팅 문의가 0건이면 가격 저항 가능성이 높습니다.</t>
        </is>
      </c>
    </row>
    <row r="11" ht="28" customHeight="1">
      <c r="A11" s="5" t="inlineStr">
        <is>
          <t>신호 2 — 관심 대비 전환 부족</t>
        </is>
      </c>
      <c r="B11" s="7">
        <f>IF(AND(B7&gt;=10,B6&lt;=1),"⚠ 관심은 있으나 구매 전환 안됨 — 가격/설명 재점검","정상")</f>
        <v/>
      </c>
      <c r="C11" s="3" t="inlineStr">
        <is>
          <t>찜은 많은데 채팅이 거의 없으면 가격보다 설명·신뢰 요소를 먼저 점검하세요.</t>
        </is>
      </c>
    </row>
    <row r="12" ht="28" customHeight="1">
      <c r="A12" s="5" t="inlineStr">
        <is>
          <t>신호 3 — 노출 부족</t>
        </is>
      </c>
      <c r="B12" s="7">
        <f>IF(AND(B4&gt;=7,B5&lt;20),"⚠ 노출 부족 — 제목/사진/끌올 필요","정상")</f>
        <v/>
      </c>
      <c r="C12" s="3" t="inlineStr">
        <is>
          <t>조회수 자체가 낮으면 가격이 아니라 제목·사진·끌올(재등록) 문제일 수 있습니다.</t>
        </is>
      </c>
    </row>
    <row r="14">
      <c r="A14" s="8" t="inlineStr">
        <is>
          <t>③ 단계적 인하 계획 (현재 등록가 기준)</t>
        </is>
      </c>
    </row>
    <row r="15">
      <c r="A15" s="5" t="inlineStr">
        <is>
          <t>현재 등록가(원)</t>
        </is>
      </c>
      <c r="B15" s="9" t="n">
        <v>550000</v>
      </c>
    </row>
    <row r="16">
      <c r="A16" s="5" t="inlineStr">
        <is>
          <t>1주 경과 시 1차 인하가 (−7.5%)</t>
        </is>
      </c>
      <c r="B16" s="10">
        <f>B15*0.925</f>
        <v/>
      </c>
    </row>
    <row r="17">
      <c r="A17" s="5" t="inlineStr">
        <is>
          <t>2주 경과 시 2차 인하가 (추가 −7.5%)</t>
        </is>
      </c>
      <c r="B17" s="10">
        <f>B15*0.925*0.925</f>
        <v/>
      </c>
    </row>
    <row r="18">
      <c r="A18" s="5" t="inlineStr">
        <is>
          <t>네고 마지노선 (더 이상 안 내리는 금액, −15%)</t>
        </is>
      </c>
      <c r="B18" s="10">
        <f>B15*0.85</f>
        <v/>
      </c>
    </row>
    <row r="20">
      <c r="A20" s="3" t="inlineStr">
        <is>
          <t>인하할 때마다 제목·첫 문장도 함께 갱신해 새 매물처럼 노출되도록 하세요. 마지노선까지 내렸는데도 반응이 없다면 판매를 잠시 중단하고 시즌을 다시 노려보는 것도 방법입니다.</t>
        </is>
      </c>
    </row>
    <row r="21"/>
  </sheetData>
  <mergeCells count="5">
    <mergeCell ref="A1:C1"/>
    <mergeCell ref="A14:C14"/>
    <mergeCell ref="A9:C9"/>
    <mergeCell ref="A3:C3"/>
    <mergeCell ref="A20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2026-09-29T21:24:30Z</dcterms:created>
  <dcterms:modified xsi:type="dcterms:W3CDTF">2026-09-29T21:24:30Z</dcterms:modified>
</cp:coreProperties>
</file>