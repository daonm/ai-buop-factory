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세밴드" sheetId="1" state="visible" r:id="rId1"/>
    <sheet name="안내" sheetId="2" state="visible" r:id="rId2"/>
    <sheet name="등록가시나리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262C3D"/>
      <sz val="13"/>
    </font>
    <font>
      <b val="1"/>
      <color rgb="FF262C3D"/>
      <sz val="11"/>
    </font>
    <font>
      <color rgb="FF565F72"/>
      <sz val="10"/>
    </font>
    <font>
      <b val="1"/>
      <color rgb="FFFFFFFF"/>
    </font>
    <font>
      <color rgb="FF565F72"/>
    </font>
    <font>
      <color rgb="FF262C3D"/>
    </font>
    <font>
      <b val="1"/>
      <color rgb="FF262C3D"/>
    </font>
  </fonts>
  <fills count="5">
    <fill>
      <patternFill/>
    </fill>
    <fill>
      <patternFill patternType="gray125"/>
    </fill>
    <fill>
      <patternFill patternType="solid">
        <fgColor rgb="FFB87F1F"/>
      </patternFill>
    </fill>
    <fill>
      <patternFill patternType="solid">
        <fgColor rgb="FFFFF6D9"/>
      </patternFill>
    </fill>
    <fill>
      <patternFill patternType="solid">
        <fgColor rgb="FF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3" fontId="6" fillId="3" borderId="0" pivotButton="0" quotePrefix="0" xfId="0"/>
    <xf numFmtId="3" fontId="7" fillId="4" borderId="0" pivotButton="0" quotePrefix="0" xfId="0"/>
    <xf numFmtId="0" fontId="7" fillId="4" borderId="0" pivotButton="0" quotePrefix="0" xfId="0"/>
    <xf numFmtId="0" fontId="6" fillId="0" borderId="0" pivotButton="0" quotePrefix="0" xfId="0"/>
    <xf numFmtId="1" fontId="7" fillId="4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7" fillId="0" borderId="0" pivotButton="0" quotePrefix="0" xfId="0"/>
    <xf numFmtId="9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30" customWidth="1" min="4" max="4"/>
  </cols>
  <sheetData>
    <row r="1">
      <c r="A1" s="1" t="inlineStr">
        <is>
          <t>시세 밴드 계산기 — 거래완료가 리서치</t>
        </is>
      </c>
    </row>
    <row r="3">
      <c r="A3" s="2" t="inlineStr">
        <is>
          <t>① 거래완료 가격 입력 (최대 10건, 원)</t>
        </is>
      </c>
    </row>
    <row r="4">
      <c r="A4" s="3" t="inlineStr">
        <is>
          <t>번호</t>
        </is>
      </c>
      <c r="B4" s="3" t="inlineStr">
        <is>
          <t>거래완료가(원)</t>
        </is>
      </c>
      <c r="C4" s="3" t="inlineStr">
        <is>
          <t>평균 대비 편차</t>
        </is>
      </c>
      <c r="D4" s="3" t="inlineStr">
        <is>
          <t>이상치 의심</t>
        </is>
      </c>
    </row>
    <row r="5">
      <c r="A5" s="4" t="n">
        <v>1</v>
      </c>
      <c r="B5" s="5" t="n">
        <v>520000</v>
      </c>
      <c r="C5" s="6">
        <f>IF(B5="","",B5-AVERAGE($B$5:$B$14))</f>
        <v/>
      </c>
      <c r="D5" s="7">
        <f>IF(B5="","",IF(ABS(B5-AVERAGE($B$5:$B$14))&gt;AVERAGE($B$5:$B$14)*0.4,"⚠ 이상치 의심","정상 범위"))</f>
        <v/>
      </c>
    </row>
    <row r="6">
      <c r="A6" s="4" t="n">
        <v>2</v>
      </c>
      <c r="B6" s="5" t="n">
        <v>480000</v>
      </c>
      <c r="C6" s="6">
        <f>IF(B6="","",B6-AVERAGE($B$5:$B$14))</f>
        <v/>
      </c>
      <c r="D6" s="7">
        <f>IF(B6="","",IF(ABS(B6-AVERAGE($B$5:$B$14))&gt;AVERAGE($B$5:$B$14)*0.4,"⚠ 이상치 의심","정상 범위"))</f>
        <v/>
      </c>
    </row>
    <row r="7">
      <c r="A7" s="4" t="n">
        <v>3</v>
      </c>
      <c r="B7" s="5" t="n">
        <v>550000</v>
      </c>
      <c r="C7" s="6">
        <f>IF(B7="","",B7-AVERAGE($B$5:$B$14))</f>
        <v/>
      </c>
      <c r="D7" s="7">
        <f>IF(B7="","",IF(ABS(B7-AVERAGE($B$5:$B$14))&gt;AVERAGE($B$5:$B$14)*0.4,"⚠ 이상치 의심","정상 범위"))</f>
        <v/>
      </c>
    </row>
    <row r="8">
      <c r="A8" s="4" t="n">
        <v>4</v>
      </c>
      <c r="B8" s="5" t="n">
        <v>500000</v>
      </c>
      <c r="C8" s="6">
        <f>IF(B8="","",B8-AVERAGE($B$5:$B$14))</f>
        <v/>
      </c>
      <c r="D8" s="7">
        <f>IF(B8="","",IF(ABS(B8-AVERAGE($B$5:$B$14))&gt;AVERAGE($B$5:$B$14)*0.4,"⚠ 이상치 의심","정상 범위"))</f>
        <v/>
      </c>
    </row>
    <row r="9">
      <c r="A9" s="4" t="n">
        <v>5</v>
      </c>
      <c r="B9" s="5" t="n">
        <v>610000</v>
      </c>
      <c r="C9" s="6">
        <f>IF(B9="","",B9-AVERAGE($B$5:$B$14))</f>
        <v/>
      </c>
      <c r="D9" s="7">
        <f>IF(B9="","",IF(ABS(B9-AVERAGE($B$5:$B$14))&gt;AVERAGE($B$5:$B$14)*0.4,"⚠ 이상치 의심","정상 범위"))</f>
        <v/>
      </c>
    </row>
    <row r="10">
      <c r="A10" s="4" t="n">
        <v>6</v>
      </c>
      <c r="B10" s="5" t="n">
        <v>470000</v>
      </c>
      <c r="C10" s="6">
        <f>IF(B10="","",B10-AVERAGE($B$5:$B$14))</f>
        <v/>
      </c>
      <c r="D10" s="7">
        <f>IF(B10="","",IF(ABS(B10-AVERAGE($B$5:$B$14))&gt;AVERAGE($B$5:$B$14)*0.4,"⚠ 이상치 의심","정상 범위"))</f>
        <v/>
      </c>
    </row>
    <row r="11">
      <c r="A11" s="4" t="n">
        <v>7</v>
      </c>
      <c r="B11" s="5" t="n">
        <v>495000</v>
      </c>
      <c r="C11" s="6">
        <f>IF(B11="","",B11-AVERAGE($B$5:$B$14))</f>
        <v/>
      </c>
      <c r="D11" s="7">
        <f>IF(B11="","",IF(ABS(B11-AVERAGE($B$5:$B$14))&gt;AVERAGE($B$5:$B$14)*0.4,"⚠ 이상치 의심","정상 범위"))</f>
        <v/>
      </c>
    </row>
    <row r="12">
      <c r="A12" s="4" t="n">
        <v>8</v>
      </c>
      <c r="B12" s="5" t="n"/>
      <c r="C12" s="6">
        <f>IF(B12="","",B12-AVERAGE($B$5:$B$14))</f>
        <v/>
      </c>
      <c r="D12" s="7">
        <f>IF(B12="","",IF(ABS(B12-AVERAGE($B$5:$B$14))&gt;AVERAGE($B$5:$B$14)*0.4,"⚠ 이상치 의심","정상 범위"))</f>
        <v/>
      </c>
    </row>
    <row r="13">
      <c r="A13" s="4" t="n">
        <v>9</v>
      </c>
      <c r="B13" s="5" t="n"/>
      <c r="C13" s="6">
        <f>IF(B13="","",B13-AVERAGE($B$5:$B$14))</f>
        <v/>
      </c>
      <c r="D13" s="7">
        <f>IF(B13="","",IF(ABS(B13-AVERAGE($B$5:$B$14))&gt;AVERAGE($B$5:$B$14)*0.4,"⚠ 이상치 의심","정상 범위"))</f>
        <v/>
      </c>
    </row>
    <row r="14">
      <c r="A14" s="4" t="n">
        <v>10</v>
      </c>
      <c r="B14" s="5" t="n"/>
      <c r="C14" s="6">
        <f>IF(B14="","",B14-AVERAGE($B$5:$B$14))</f>
        <v/>
      </c>
      <c r="D14" s="7">
        <f>IF(B14="","",IF(ABS(B14-AVERAGE($B$5:$B$14))&gt;AVERAGE($B$5:$B$14)*0.4,"⚠ 이상치 의심","정상 범위"))</f>
        <v/>
      </c>
    </row>
    <row r="16">
      <c r="A16" s="2" t="inlineStr">
        <is>
          <t>② 시세 밴드 요약 (자동 계산)</t>
        </is>
      </c>
    </row>
    <row r="17">
      <c r="A17" s="8" t="inlineStr">
        <is>
          <t>최저가</t>
        </is>
      </c>
      <c r="B17" s="6">
        <f>MIN(B5:B14)</f>
        <v/>
      </c>
    </row>
    <row r="18">
      <c r="A18" s="8" t="inlineStr">
        <is>
          <t>최고가</t>
        </is>
      </c>
      <c r="B18" s="6">
        <f>MAX(B5:B14)</f>
        <v/>
      </c>
    </row>
    <row r="19">
      <c r="A19" s="8" t="inlineStr">
        <is>
          <t>평균가</t>
        </is>
      </c>
      <c r="B19" s="6">
        <f>AVERAGE(B5:B14)</f>
        <v/>
      </c>
    </row>
    <row r="20">
      <c r="A20" s="8" t="inlineStr">
        <is>
          <t>중간값</t>
        </is>
      </c>
      <c r="B20" s="6">
        <f>MEDIAN(B5:B14)</f>
        <v/>
      </c>
    </row>
    <row r="21">
      <c r="A21" s="8" t="inlineStr">
        <is>
          <t>입력 건수</t>
        </is>
      </c>
      <c r="B21" s="9">
        <f>COUNT(B5:B14)</f>
        <v/>
      </c>
      <c r="C21" s="10" t="inlineStr">
        <is>
          <t>5건 미만이면 판매중 매물(찜·채팅 많음)을 참고용으로만 추가하세요.</t>
        </is>
      </c>
    </row>
    <row r="22"/>
  </sheetData>
  <mergeCells count="4">
    <mergeCell ref="A1:D1"/>
    <mergeCell ref="C21:D22"/>
    <mergeCell ref="A3:D3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시세밴드 · 등록가 계산기</t>
        </is>
      </c>
    </row>
    <row r="4">
      <c r="B4" s="2" t="inlineStr">
        <is>
          <t>⚠ 사용 전 꼭 읽어주세요</t>
        </is>
      </c>
    </row>
    <row r="5" ht="28" customHeight="1">
      <c r="B5" s="10" t="inlineStr">
        <is>
          <t>본 계산기는 중고거래 앱에서 직접 검색한 '거래완료' 매물 가격을 입력하면 시세 밴드와 등록가 시나리오를 계산해주는 도구입니다.</t>
        </is>
      </c>
    </row>
    <row r="6" ht="28" customHeight="1">
      <c r="B6" s="10" t="inlineStr">
        <is>
          <t>AI·계산기는 실시간 거래 데이터를 직접 조회하지 못합니다. 반드시 사람이 앱에서 직접 검색한 거래완료 가격만 입력하세요. 판매 중(미판매) 매물의 호가는 넣지 마세요. (기준: 2026년 9월 확인)</t>
        </is>
      </c>
    </row>
    <row r="8">
      <c r="B8" s="2" t="inlineStr">
        <is>
          <t>사용법</t>
        </is>
      </c>
    </row>
    <row r="9">
      <c r="B9" s="11" t="inlineStr">
        <is>
          <t>① '시세밴드' 시트 노란색 칸에 같은 모델·비슷한 상태의 거래완료 가격을 최대 10개 입력</t>
        </is>
      </c>
    </row>
    <row r="10">
      <c r="B10" s="11" t="inlineStr">
        <is>
          <t>② 최저가·최고가·평균가·중간값과 이상치 의심 여부를 자동 확인</t>
        </is>
      </c>
    </row>
    <row r="11">
      <c r="B11" s="11" t="inlineStr">
        <is>
          <t>③ '등록가시나리오' 시트에 목표 실수령가를 입력하면 빠른판매/적정가/최고가 3가지 시나리오별 등록가와 네고 마지노선을 자동 계산</t>
        </is>
      </c>
    </row>
    <row r="12">
      <c r="B12" s="11" t="inlineStr">
        <is>
          <t>④ 예상 판매 기간은 참고용 감각이며 보장이 아니라는 점을 반드시 리포트에 함께 명시</t>
        </is>
      </c>
    </row>
    <row r="14" ht="30" customHeight="1">
      <c r="B14" s="10" t="inlineStr">
        <is>
          <t>거래완료 매물이 5건 미만이면 '찜 많음·채팅 많음' 표시가 있는 판매중 매물을 참고하되, 확정 가격이 아니라는 점을 리포트에 별도로 표시하세요.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22" customWidth="1" min="4" max="4"/>
    <col width="24" customWidth="1" min="5" max="5"/>
  </cols>
  <sheetData>
    <row r="1">
      <c r="A1" s="1" t="inlineStr">
        <is>
          <t>등록가 시나리오 계산기</t>
        </is>
      </c>
    </row>
    <row r="3">
      <c r="A3" s="2" t="inlineStr">
        <is>
          <t>① 목표 실수령가 입력</t>
        </is>
      </c>
    </row>
    <row r="4">
      <c r="A4" s="8" t="inlineStr">
        <is>
          <t>목표 실수령가(원) — 시세 밴드 안에서 내가 받고 싶은 금액</t>
        </is>
      </c>
      <c r="B4" s="5" t="n">
        <v>500000</v>
      </c>
    </row>
    <row r="6">
      <c r="A6" s="2" t="inlineStr">
        <is>
          <t>② 시나리오별 등록가 (자동 계산)</t>
        </is>
      </c>
    </row>
    <row r="7">
      <c r="A7" s="3" t="inlineStr">
        <is>
          <t>시나리오</t>
        </is>
      </c>
      <c r="B7" s="3" t="inlineStr">
        <is>
          <t>네고 여지</t>
        </is>
      </c>
      <c r="C7" s="3" t="inlineStr">
        <is>
          <t>등록가(원)</t>
        </is>
      </c>
      <c r="D7" s="3" t="inlineStr">
        <is>
          <t>네고 마지노선(원)</t>
        </is>
      </c>
      <c r="E7" s="3" t="inlineStr">
        <is>
          <t>예상 판매 기간(참고)</t>
        </is>
      </c>
    </row>
    <row r="8">
      <c r="A8" s="12" t="inlineStr">
        <is>
          <t>빠른 판매 우선</t>
        </is>
      </c>
      <c r="B8" s="13" t="n">
        <v>0.05</v>
      </c>
      <c r="C8" s="6">
        <f>$B$4*(1+B8)</f>
        <v/>
      </c>
      <c r="D8" s="6">
        <f>$B$4*0.95</f>
        <v/>
      </c>
      <c r="E8" s="11" t="inlineStr">
        <is>
          <t>3~7일 이내 (경쟁 매물보다 저렴하게 노출)</t>
        </is>
      </c>
    </row>
    <row r="9">
      <c r="A9" s="12" t="inlineStr">
        <is>
          <t>적정가 우선</t>
        </is>
      </c>
      <c r="B9" s="13" t="n">
        <v>0.075</v>
      </c>
      <c r="C9" s="6">
        <f>$B$4*(1+B9)</f>
        <v/>
      </c>
      <c r="D9" s="6">
        <f>$B$4*0.95</f>
        <v/>
      </c>
      <c r="E9" s="11" t="inlineStr">
        <is>
          <t>1~2주 (시세 밴드 중간값 수준)</t>
        </is>
      </c>
    </row>
    <row r="10">
      <c r="A10" s="12" t="inlineStr">
        <is>
          <t>최고가 우선</t>
        </is>
      </c>
      <c r="B10" s="13" t="n">
        <v>0.1</v>
      </c>
      <c r="C10" s="6">
        <f>$B$4*(1+B10)</f>
        <v/>
      </c>
      <c r="D10" s="6">
        <f>$B$4*0.95</f>
        <v/>
      </c>
      <c r="E10" s="11" t="inlineStr">
        <is>
          <t>2주 이상, 안 팔리면 단계적 인하 필요</t>
        </is>
      </c>
    </row>
    <row r="12">
      <c r="A12" s="10" t="inlineStr">
        <is>
          <t>네고 마지노선은 '더 이상은 안 내리는 금액'으로, 목표 실수령가의 95% 수준을 기본값으로 계산합니다.</t>
        </is>
      </c>
    </row>
    <row r="13"/>
  </sheetData>
  <mergeCells count="3">
    <mergeCell ref="A6:E6"/>
    <mergeCell ref="A1:E1"/>
    <mergeCell ref="A12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2026-09-29T21:23:00Z</dcterms:created>
  <dcterms:modified xsi:type="dcterms:W3CDTF">2026-09-29T21:23:00Z</dcterms:modified>
</cp:coreProperties>
</file>