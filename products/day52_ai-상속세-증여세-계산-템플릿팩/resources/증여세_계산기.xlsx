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계산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262C3D"/>
      <sz val="14"/>
    </font>
    <font>
      <b val="1"/>
      <color rgb="00B87F1F"/>
      <sz val="11"/>
    </font>
    <font>
      <color rgb="00262C3D"/>
      <sz val="10.5"/>
    </font>
    <font>
      <i val="1"/>
      <color rgb="00565F72"/>
      <sz val="9.5"/>
    </font>
    <font>
      <b val="1"/>
      <color rgb="00262C3D"/>
      <sz val="10.5"/>
    </font>
    <font>
      <b val="1"/>
      <color rgb="00FFFFFF"/>
      <sz val="9.5"/>
    </font>
    <font>
      <b val="1"/>
      <color rgb="00262C3D"/>
      <sz val="11"/>
    </font>
    <font>
      <b val="1"/>
      <color rgb="008F6215"/>
      <sz val="12"/>
    </font>
  </fonts>
  <fills count="5">
    <fill>
      <patternFill/>
    </fill>
    <fill>
      <patternFill patternType="gray125"/>
    </fill>
    <fill>
      <patternFill patternType="solid">
        <fgColor rgb="00B87F1F"/>
        <bgColor rgb="00B87F1F"/>
      </patternFill>
    </fill>
    <fill>
      <patternFill patternType="solid">
        <fgColor rgb="00FFF6D9"/>
        <bgColor rgb="00FFF6D9"/>
      </patternFill>
    </fill>
    <fill>
      <patternFill patternType="solid">
        <fgColor rgb="00E3E6CE"/>
        <bgColor rgb="00E3E6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3" fillId="0" borderId="0" pivotButton="0" quotePrefix="0" xfId="0"/>
    <xf numFmtId="3" fontId="3" fillId="0" borderId="0" pivotButton="0" quotePrefix="0" xfId="0"/>
    <xf numFmtId="0" fontId="3" fillId="3" borderId="0" pivotButton="0" quotePrefix="0" xfId="0"/>
    <xf numFmtId="3" fontId="3" fillId="3" borderId="0" pivotButton="0" quotePrefix="0" xfId="0"/>
    <xf numFmtId="3" fontId="5" fillId="4" borderId="0" pivotButton="0" quotePrefix="0" xfId="0"/>
    <xf numFmtId="10" fontId="3" fillId="0" borderId="0" pivotButton="0" quotePrefix="0" xfId="0"/>
    <xf numFmtId="10" fontId="5" fillId="4" borderId="0" pivotButton="0" quotePrefix="0" xfId="0"/>
    <xf numFmtId="0" fontId="7" fillId="0" borderId="0" pivotButton="0" quotePrefix="0" xfId="0"/>
    <xf numFmtId="3" fontId="8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>
      <c r="B1" s="1" t="n"/>
    </row>
    <row r="2">
      <c r="B2" s="2" t="inlineStr">
        <is>
          <t>증여세 계산기</t>
        </is>
      </c>
    </row>
    <row r="3">
      <c r="B3" s="1" t="n"/>
    </row>
    <row r="4">
      <c r="B4" s="3" t="inlineStr">
        <is>
          <t>⚠ 사용 전 꼭 읽어주세요</t>
        </is>
      </c>
    </row>
    <row r="5">
      <c r="B5" s="4" t="inlineStr">
        <is>
          <t>본 계산기는 증여재산공제(배우자 6억/직계비속 5,000만원(미성년자 2,000만원)/기타친족 1,000만원)와</t>
        </is>
      </c>
    </row>
    <row r="6">
      <c r="B6" s="4" t="inlineStr">
        <is>
          <t>10년 합산과세 원칙, 누진세율표(10~50%)를 반영해 예상 증여세를 계산하는 참고용 도구입니다. (기준: 2026년 10월 확인)</t>
        </is>
      </c>
    </row>
    <row r="7">
      <c r="B7" s="1" t="n"/>
    </row>
    <row r="8">
      <c r="B8" s="3" t="inlineStr">
        <is>
          <t>사용법</t>
        </is>
      </c>
    </row>
    <row r="9">
      <c r="B9" s="4" t="inlineStr">
        <is>
          <t>① '계산기' 시트 상단 참고표에서 관계별 증여재산공제 한도를 확인합니다.</t>
        </is>
      </c>
    </row>
    <row r="10">
      <c r="B10" s="4" t="inlineStr">
        <is>
          <t>② 노란색 칸에 증여자-수증자 관계, 이번 증여재산가액을 입력합니다.</t>
        </is>
      </c>
    </row>
    <row r="11">
      <c r="B11" s="4" t="inlineStr">
        <is>
          <t>③ 10년 이내 같은 공제 그룹(배우자/직계존속 등)에서 이미 받은 증여재산가액과, 그 증여에 대해 이미 낸 산출세액을 입력합니다(없으면 0).</t>
        </is>
      </c>
    </row>
    <row r="12">
      <c r="B12" s="4" t="inlineStr">
        <is>
          <t>④ 올리브색 칸에서 10년 합산 과세표준 → 합산 산출세액 → 기존 납부세액 차감 → 신고세액공제 반영 최종 납부세액까지 자동 계산됩니다.</t>
        </is>
      </c>
    </row>
    <row r="13">
      <c r="B13" s="4" t="inlineStr">
        <is>
          <t>⑤ 상속과 비교해보고 싶다면 '상속_vs_사전증여_비교_계산기.xlsx'로 넘어가세요.</t>
        </is>
      </c>
    </row>
    <row r="14">
      <c r="B14" s="1" t="n"/>
    </row>
    <row r="15" ht="60" customHeight="1">
      <c r="B15" s="5" t="inlineStr">
        <is>
          <t>이 계산기는 확정 세액이 아니라 참고용 추정치입니다. 직계존속(부모+조부모)은 10년간 공제 한도를 공유하는 하나의 그룹이라는 점, 세대생략증여 할증(30~40%)과 혼인·출산 증여재산공제(최대 1억원 추가)는 이 계산기에 반영돼 있지 않으니 해당 사항이 있으면 수동으로 가산/차감해야 합니다. 실제 신고 전 국세청 홈택스·세무사 확인으로 재확인하세요.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22" customWidth="1" min="2" max="2"/>
    <col width="20" customWidth="1" min="3" max="3"/>
    <col width="30" customWidth="1" min="4" max="4"/>
  </cols>
  <sheetData>
    <row r="1">
      <c r="A1" s="6" t="inlineStr">
        <is>
          <t>증여세 계산기</t>
        </is>
      </c>
    </row>
    <row r="3">
      <c r="A3" s="7" t="inlineStr">
        <is>
          <t>① 증여재산공제 참고표 (10년 단위 합산 한도)</t>
        </is>
      </c>
    </row>
    <row r="4">
      <c r="A4" s="8" t="inlineStr">
        <is>
          <t>증여자-수증자 관계</t>
        </is>
      </c>
      <c r="B4" s="8" t="inlineStr">
        <is>
          <t>공제 한도(원)</t>
        </is>
      </c>
    </row>
    <row r="5">
      <c r="A5" s="9" t="inlineStr">
        <is>
          <t>배우자</t>
        </is>
      </c>
      <c r="B5" s="10" t="n">
        <v>600000000</v>
      </c>
    </row>
    <row r="6">
      <c r="A6" s="9" t="inlineStr">
        <is>
          <t>직계존속→직계비속(성년)</t>
        </is>
      </c>
      <c r="B6" s="10" t="n">
        <v>50000000</v>
      </c>
    </row>
    <row r="7">
      <c r="A7" s="9" t="inlineStr">
        <is>
          <t>직계존속→직계비속(미성년)</t>
        </is>
      </c>
      <c r="B7" s="10" t="n">
        <v>20000000</v>
      </c>
    </row>
    <row r="8">
      <c r="A8" s="9" t="inlineStr">
        <is>
          <t>기타친족(6촌 이내 혈족 등)</t>
        </is>
      </c>
      <c r="B8" s="10" t="n">
        <v>10000000</v>
      </c>
    </row>
    <row r="9">
      <c r="A9" s="9" t="inlineStr">
        <is>
          <t>그 외(친족 아님)</t>
        </is>
      </c>
      <c r="B9" s="10" t="n">
        <v>0</v>
      </c>
    </row>
    <row r="11">
      <c r="A11" s="7" t="inlineStr">
        <is>
          <t>② 조건 입력</t>
        </is>
      </c>
    </row>
    <row r="12">
      <c r="A12" s="9" t="inlineStr">
        <is>
          <t>증여자-수증자 관계 (위 참고표에서 선택)</t>
        </is>
      </c>
      <c r="B12" s="11" t="inlineStr">
        <is>
          <t>직계존속→직계비속(성년)</t>
        </is>
      </c>
    </row>
    <row r="13">
      <c r="A13" s="9" t="inlineStr">
        <is>
          <t>이번 증여재산가액 (원)</t>
        </is>
      </c>
      <c r="B13" s="12" t="n">
        <v>100000000</v>
      </c>
    </row>
    <row r="14">
      <c r="A14" s="9" t="inlineStr">
        <is>
          <t>10년 이내 같은 그룹에서 이미 받은 증여재산가액 합계 (이번 제외, 원)</t>
        </is>
      </c>
      <c r="B14" s="12" t="n">
        <v>0</v>
      </c>
    </row>
    <row r="15">
      <c r="A15" s="9" t="inlineStr">
        <is>
          <t>위 기존 증여에 대해 이미 낸 산출세액 (원, 없으면 0)</t>
        </is>
      </c>
      <c r="B15" s="12" t="n">
        <v>0</v>
      </c>
    </row>
    <row r="17">
      <c r="A17" s="7" t="inlineStr">
        <is>
          <t>③ 10년 합산과세 계산</t>
        </is>
      </c>
    </row>
    <row r="18">
      <c r="A18" s="9" t="inlineStr">
        <is>
          <t>적용 증여재산공제 한도 (원)</t>
        </is>
      </c>
      <c r="B18" s="13">
        <f>VLOOKUP(B12,A5:B9,2,FALSE)</f>
        <v/>
      </c>
    </row>
    <row r="19">
      <c r="A19" s="9" t="inlineStr">
        <is>
          <t>10년 합산대상 증여재산가액 (기존+이번, 원)</t>
        </is>
      </c>
      <c r="B19" s="13">
        <f>B14+B13</f>
        <v/>
      </c>
    </row>
    <row r="20">
      <c r="A20" s="9" t="inlineStr">
        <is>
          <t>10년 합산 과세표준 (합산대상 - 공제한도, 원)</t>
        </is>
      </c>
      <c r="B20" s="13">
        <f>MAX(B19-B18,0)</f>
        <v/>
      </c>
    </row>
    <row r="22">
      <c r="A22" s="7" t="inlineStr">
        <is>
          <t>④ 상속세·증여세 공통 누진세율표</t>
        </is>
      </c>
    </row>
    <row r="23">
      <c r="A23" s="8" t="inlineStr">
        <is>
          <t>과세표준 구간 시작(원)</t>
        </is>
      </c>
      <c r="B23" s="8" t="inlineStr">
        <is>
          <t>적용 세율</t>
        </is>
      </c>
      <c r="C23" s="8" t="inlineStr">
        <is>
          <t>누진공제액(원)</t>
        </is>
      </c>
    </row>
    <row r="24">
      <c r="A24" s="10" t="n">
        <v>0</v>
      </c>
      <c r="B24" s="14" t="n">
        <v>0.1</v>
      </c>
      <c r="C24" s="10" t="n">
        <v>0</v>
      </c>
    </row>
    <row r="25">
      <c r="A25" s="10" t="n">
        <v>100000000</v>
      </c>
      <c r="B25" s="14" t="n">
        <v>0.2</v>
      </c>
      <c r="C25" s="10" t="n">
        <v>10000000</v>
      </c>
    </row>
    <row r="26">
      <c r="A26" s="10" t="n">
        <v>500000000</v>
      </c>
      <c r="B26" s="14" t="n">
        <v>0.3</v>
      </c>
      <c r="C26" s="10" t="n">
        <v>60000000</v>
      </c>
    </row>
    <row r="27">
      <c r="A27" s="10" t="n">
        <v>1000000000</v>
      </c>
      <c r="B27" s="14" t="n">
        <v>0.4</v>
      </c>
      <c r="C27" s="10" t="n">
        <v>160000000</v>
      </c>
    </row>
    <row r="28">
      <c r="A28" s="10" t="n">
        <v>3000000000</v>
      </c>
      <c r="B28" s="14" t="n">
        <v>0.5</v>
      </c>
      <c r="C28" s="10" t="n">
        <v>460000000</v>
      </c>
    </row>
    <row r="30">
      <c r="A30" s="7" t="inlineStr">
        <is>
          <t>⑤ 산출세액 · 기존 납부세액 차감 · 최종 납부세액</t>
        </is>
      </c>
    </row>
    <row r="31">
      <c r="A31" s="9" t="inlineStr">
        <is>
          <t>적용 세율</t>
        </is>
      </c>
      <c r="B31" s="15">
        <f>VLOOKUP(B20,A24:C28,2,TRUE)</f>
        <v/>
      </c>
    </row>
    <row r="32">
      <c r="A32" s="9" t="inlineStr">
        <is>
          <t>누진공제액 (원)</t>
        </is>
      </c>
      <c r="B32" s="13">
        <f>VLOOKUP(B20,A24:C28,3,TRUE)</f>
        <v/>
      </c>
    </row>
    <row r="33">
      <c r="A33" s="9" t="inlineStr">
        <is>
          <t>10년 합산 산출세액 (원)</t>
        </is>
      </c>
      <c r="B33" s="13">
        <f>MAX(B20*B31-B32,0)</f>
        <v/>
      </c>
    </row>
    <row r="34">
      <c r="A34" s="9" t="inlineStr">
        <is>
          <t>이번 증여분 산출세액 (합산 산출세액 - 기존 납부세액, 원)</t>
        </is>
      </c>
      <c r="B34" s="13">
        <f>MAX(B33-B15,0)</f>
        <v/>
      </c>
    </row>
    <row r="35">
      <c r="A35" s="9" t="inlineStr">
        <is>
          <t>신고세액공제 (산출세액 × 3%, 원)</t>
        </is>
      </c>
      <c r="B35" s="13">
        <f>B34*0.03</f>
        <v/>
      </c>
    </row>
    <row r="36">
      <c r="A36" s="16" t="inlineStr">
        <is>
          <t>★ 최종 납부세액 (원)</t>
        </is>
      </c>
      <c r="B36" s="17">
        <f>B34-B35</f>
        <v/>
      </c>
    </row>
    <row r="38" ht="45" customHeight="1">
      <c r="A38" s="5" t="inlineStr">
        <is>
          <t>⚠ 부모와 조부모는 모두 '직계존속' 그룹으로 묶여 10년간 공제 한도를 공유합니다. 각각 따로 공제받을 수 있다고 오해하지 않도록, '10년 이내 같은 그룹에서 이미 받은 증여재산가액'에는 부모·조부모로부터 받은 금액을 모두 합산해 입력하세요. 세대생략증여 할증·혼인출산공제는 별도 반영이 필요합니다.</t>
        </is>
      </c>
    </row>
  </sheetData>
  <mergeCells count="1">
    <mergeCell ref="A38:D38"/>
  </mergeCells>
  <dataValidations count="1">
    <dataValidation sqref="B12" showDropDown="0" showInputMessage="0" showErrorMessage="0" allowBlank="1" type="list">
      <formula1>=$A$5:$A$9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2026-10-09T21:27:28Z</dcterms:created>
  <dcterms:modified xmlns:dcterms="http://purl.org/dc/terms/" xmlns:xsi="http://www.w3.org/2001/XMLSchema-instance" xsi:type="dcterms:W3CDTF">2026-10-09T21:27:28Z</dcterms:modified>
</cp:coreProperties>
</file>