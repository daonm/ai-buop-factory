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i val="1"/>
      <color rgb="00565F72"/>
      <sz val="9.5"/>
    </font>
    <font>
      <b val="1"/>
      <color rgb="00262C3D"/>
      <sz val="10.5"/>
    </font>
    <font>
      <b val="1"/>
      <color rgb="00FFFFFF"/>
      <sz val="9.5"/>
    </font>
    <font>
      <b val="1"/>
      <color rgb="00262C3D"/>
      <sz val="11"/>
    </font>
    <font>
      <b val="1"/>
      <color rgb="008F6215"/>
      <sz val="12"/>
    </font>
  </fonts>
  <fills count="5">
    <fill>
      <patternFill/>
    </fill>
    <fill>
      <patternFill patternType="gray125"/>
    </fill>
    <fill>
      <patternFill patternType="solid">
        <fgColor rgb="00B87F1F"/>
        <bgColor rgb="00B87F1F"/>
      </patternFill>
    </fill>
    <fill>
      <patternFill patternType="solid">
        <fgColor rgb="00FFF6D9"/>
        <bgColor rgb="00FFF6D9"/>
      </patternFill>
    </fill>
    <fill>
      <patternFill patternType="solid">
        <fgColor rgb="00E3E6CE"/>
        <b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3" fontId="3" fillId="0" borderId="0" pivotButton="0" quotePrefix="0" xfId="0"/>
    <xf numFmtId="10" fontId="3" fillId="0" borderId="0" pivotButton="0" quotePrefix="0" xfId="0"/>
    <xf numFmtId="0" fontId="3" fillId="0" borderId="0" pivotButton="0" quotePrefix="0" xfId="0"/>
    <xf numFmtId="3" fontId="3" fillId="3" borderId="0" pivotButton="0" quotePrefix="0" xfId="0"/>
    <xf numFmtId="0" fontId="3" fillId="3" borderId="0" pivotButton="0" quotePrefix="0" xfId="0"/>
    <xf numFmtId="3" fontId="5" fillId="4" borderId="0" pivotButton="0" quotePrefix="0" xfId="0"/>
    <xf numFmtId="10" fontId="5" fillId="4" borderId="0" pivotButton="0" quotePrefix="0" xfId="0"/>
    <xf numFmtId="0" fontId="5" fillId="4" borderId="0" pivotButton="0" quotePrefix="0" xfId="0"/>
    <xf numFmtId="0" fontId="7" fillId="0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n"/>
    </row>
    <row r="2">
      <c r="B2" s="2" t="inlineStr">
        <is>
          <t>상속 vs 사전증여 비교 계산기</t>
        </is>
      </c>
    </row>
    <row r="3">
      <c r="B3" s="1" t="n"/>
    </row>
    <row r="4">
      <c r="B4" s="3" t="inlineStr">
        <is>
          <t>⚠ 사용 전 꼭 읽어주세요</t>
        </is>
      </c>
    </row>
    <row r="5">
      <c r="B5" s="4" t="inlineStr">
        <is>
          <t>같은 재산을 (A) 전부 상속받는 경우와 (B) 지금 일부를 사전증여하고 나머지를 나중에 상속받는 경우로 나눠</t>
        </is>
      </c>
    </row>
    <row r="6">
      <c r="B6" s="4" t="inlineStr">
        <is>
          <t>예상 총 세부담을 비교하는 참고용 도구입니다. 상속개시일 전 10년(상속인 외의 자는 5년) 이내 사전증여는</t>
        </is>
      </c>
    </row>
    <row r="7">
      <c r="B7" s="4" t="inlineStr">
        <is>
          <t>상속재산에 합산돼 재계산된다는 원칙을 반영했습니다. (기준: 2026년 10월 확인)</t>
        </is>
      </c>
    </row>
    <row r="8">
      <c r="B8" s="1" t="n"/>
    </row>
    <row r="9">
      <c r="B9" s="3" t="inlineStr">
        <is>
          <t>사용법</t>
        </is>
      </c>
    </row>
    <row r="10">
      <c r="B10" s="4" t="inlineStr">
        <is>
          <t>① 노란색 칸에 전체 재산가액, 배우자·자녀 구성, 사전증여를 검토 중인 금액과 수증자 관계를 입력합니다.</t>
        </is>
      </c>
    </row>
    <row r="11">
      <c r="B11" s="4" t="inlineStr">
        <is>
          <t>② '사전증여 후 상속개시까지 예상 경과연수'를 입력합니다 — 이 값이 합산 기준연수(10년 또는 5년)보다 작으면</t>
        </is>
      </c>
    </row>
    <row r="12">
      <c r="B12" s="4" t="inlineStr">
        <is>
          <t xml:space="preserve">   증여재산이 상속재산에 가산돼 재계산되고, 이미 낸 증여세액은 상속세 산출세액에서 공제됩니다(이중과세 방지).</t>
        </is>
      </c>
    </row>
    <row r="13">
      <c r="B13" s="4" t="inlineStr">
        <is>
          <t>③ 올리브색 칸에서 시나리오 A(전부 상속)와 시나리오 B(사전증여+잔여상속)의 예상 총세액이 각각 계산되고,</t>
        </is>
      </c>
    </row>
    <row r="14">
      <c r="B14" s="4" t="inlineStr">
        <is>
          <t xml:space="preserve">   마지막 줄에서 어느 쪽이 유리한지 자동으로 비교해 보여줍니다.</t>
        </is>
      </c>
    </row>
    <row r="15">
      <c r="B15" s="1" t="n"/>
    </row>
    <row r="16" ht="60" customHeight="1">
      <c r="B16" s="5" t="inlineStr">
        <is>
          <t>이 계산기는 확정 세액이 아니라 참고용 추정치이며, 세대생략증여 할증·혼인출산공제·재산 가치 변동 전망 등 세부 변수는 반영되지 않았습니다. 실제 의사결정 전 국세청 홈택스 모의계산과 세무사 확인을 반드시 거치세요.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0" customWidth="1" min="3" max="3"/>
    <col width="30" customWidth="1" min="4" max="4"/>
  </cols>
  <sheetData>
    <row r="1">
      <c r="A1" s="6" t="inlineStr">
        <is>
          <t>상속 vs 사전증여 비교 계산기</t>
        </is>
      </c>
    </row>
    <row r="3">
      <c r="A3" s="7" t="inlineStr">
        <is>
          <t>① 상속세·증여세 공통 누진세율표</t>
        </is>
      </c>
    </row>
    <row r="4">
      <c r="A4" s="8" t="inlineStr">
        <is>
          <t>과세표준 구간 시작(원)</t>
        </is>
      </c>
      <c r="B4" s="8" t="inlineStr">
        <is>
          <t>적용 세율</t>
        </is>
      </c>
      <c r="C4" s="8" t="inlineStr">
        <is>
          <t>누진공제액(원)</t>
        </is>
      </c>
    </row>
    <row r="5">
      <c r="A5" s="9" t="n">
        <v>0</v>
      </c>
      <c r="B5" s="10" t="n">
        <v>0.1</v>
      </c>
      <c r="C5" s="9" t="n">
        <v>0</v>
      </c>
    </row>
    <row r="6">
      <c r="A6" s="9" t="n">
        <v>100000000</v>
      </c>
      <c r="B6" s="10" t="n">
        <v>0.2</v>
      </c>
      <c r="C6" s="9" t="n">
        <v>10000000</v>
      </c>
    </row>
    <row r="7">
      <c r="A7" s="9" t="n">
        <v>500000000</v>
      </c>
      <c r="B7" s="10" t="n">
        <v>0.3</v>
      </c>
      <c r="C7" s="9" t="n">
        <v>60000000</v>
      </c>
    </row>
    <row r="8">
      <c r="A8" s="9" t="n">
        <v>1000000000</v>
      </c>
      <c r="B8" s="10" t="n">
        <v>0.4</v>
      </c>
      <c r="C8" s="9" t="n">
        <v>160000000</v>
      </c>
    </row>
    <row r="9">
      <c r="A9" s="9" t="n">
        <v>3000000000</v>
      </c>
      <c r="B9" s="10" t="n">
        <v>0.5</v>
      </c>
      <c r="C9" s="9" t="n">
        <v>460000000</v>
      </c>
    </row>
    <row r="11">
      <c r="A11" s="7" t="inlineStr">
        <is>
          <t>② 증여재산공제 참고표 (사전증여 시 적용)</t>
        </is>
      </c>
    </row>
    <row r="12">
      <c r="A12" s="8" t="inlineStr">
        <is>
          <t>증여자-수증자 관계</t>
        </is>
      </c>
      <c r="B12" s="8" t="inlineStr">
        <is>
          <t>공제 한도(원)</t>
        </is>
      </c>
    </row>
    <row r="13">
      <c r="A13" s="11" t="inlineStr">
        <is>
          <t>배우자</t>
        </is>
      </c>
      <c r="B13" s="9" t="n">
        <v>600000000</v>
      </c>
    </row>
    <row r="14">
      <c r="A14" s="11" t="inlineStr">
        <is>
          <t>직계존속→직계비속(성년)</t>
        </is>
      </c>
      <c r="B14" s="9" t="n">
        <v>50000000</v>
      </c>
    </row>
    <row r="15">
      <c r="A15" s="11" t="inlineStr">
        <is>
          <t>직계존속→직계비속(미성년)</t>
        </is>
      </c>
      <c r="B15" s="9" t="n">
        <v>20000000</v>
      </c>
    </row>
    <row r="16">
      <c r="A16" s="11" t="inlineStr">
        <is>
          <t>기타친족(6촌 이내 혈족 등)</t>
        </is>
      </c>
      <c r="B16" s="9" t="n">
        <v>10000000</v>
      </c>
    </row>
    <row r="17">
      <c r="A17" s="11" t="inlineStr">
        <is>
          <t>그 외(친족 아님)</t>
        </is>
      </c>
      <c r="B17" s="9" t="n">
        <v>0</v>
      </c>
    </row>
    <row r="19">
      <c r="A19" s="7" t="inlineStr">
        <is>
          <t>③ 공통 조건 입력</t>
        </is>
      </c>
    </row>
    <row r="20">
      <c r="A20" s="11" t="inlineStr">
        <is>
          <t>전체 재산가액 (현재 가치 기준, 원)</t>
        </is>
      </c>
      <c r="B20" s="12" t="n">
        <v>1500000000</v>
      </c>
    </row>
    <row r="21">
      <c r="A21" s="11" t="inlineStr">
        <is>
          <t>배우자 생존 여부</t>
        </is>
      </c>
      <c r="B21" s="13" t="inlineStr">
        <is>
          <t>예</t>
        </is>
      </c>
    </row>
    <row r="22">
      <c r="A22" s="11" t="inlineStr">
        <is>
          <t>배우자가 상속받을 것으로 예상하는 금액 (원)</t>
        </is>
      </c>
      <c r="B22" s="12" t="n">
        <v>750000000</v>
      </c>
    </row>
    <row r="23">
      <c r="A23" s="11" t="inlineStr">
        <is>
          <t>자녀 수 (명)</t>
        </is>
      </c>
      <c r="B23" s="13" t="n">
        <v>2</v>
      </c>
    </row>
    <row r="24">
      <c r="A24" s="11" t="inlineStr">
        <is>
          <t>사전증여 수증자와의 관계 (위 참고표에서 선택)</t>
        </is>
      </c>
      <c r="B24" s="13" t="inlineStr">
        <is>
          <t>직계존속→직계비속(성년)</t>
        </is>
      </c>
    </row>
    <row r="25">
      <c r="A25" s="11" t="inlineStr">
        <is>
          <t>수증자가 상속인인지 여부 (합산 기준연수 결정)</t>
        </is>
      </c>
      <c r="B25" s="13" t="inlineStr">
        <is>
          <t>상속인</t>
        </is>
      </c>
    </row>
    <row r="27">
      <c r="A27" s="7" t="inlineStr">
        <is>
          <t>④ 시나리오 A — 지금 증여 없이 전부 상속</t>
        </is>
      </c>
    </row>
    <row r="28">
      <c r="A28" s="11" t="inlineStr">
        <is>
          <t>상속공제 (기초공제+자녀공제 vs 일괄공제 중 큰 값, 원)</t>
        </is>
      </c>
      <c r="B28" s="14">
        <f>MAX(200000000+B23*50000000,500000000)</f>
        <v/>
      </c>
    </row>
    <row r="29">
      <c r="A29" s="11" t="inlineStr">
        <is>
          <t>배우자공제_A (원)</t>
        </is>
      </c>
      <c r="B29" s="14">
        <f>IF(B21="예",MIN(MAX(B22,500000000),3000000000),0)</f>
        <v/>
      </c>
    </row>
    <row r="30">
      <c r="A30" s="11" t="inlineStr">
        <is>
          <t>상속공제 합계_A (원)</t>
        </is>
      </c>
      <c r="B30" s="14">
        <f>B28+B29</f>
        <v/>
      </c>
    </row>
    <row r="31">
      <c r="A31" s="11" t="inlineStr">
        <is>
          <t>과세표준_A (원)</t>
        </is>
      </c>
      <c r="B31" s="14">
        <f>MAX(B20-B30,0)</f>
        <v/>
      </c>
    </row>
    <row r="32">
      <c r="A32" s="11" t="inlineStr">
        <is>
          <t>적용 세율_A</t>
        </is>
      </c>
      <c r="B32" s="15">
        <f>VLOOKUP(B31,A5:C9,2,TRUE)</f>
        <v/>
      </c>
    </row>
    <row r="33">
      <c r="A33" s="11" t="inlineStr">
        <is>
          <t>누진공제액_A (원)</t>
        </is>
      </c>
      <c r="B33" s="14">
        <f>VLOOKUP(B31,A5:C9,3,TRUE)</f>
        <v/>
      </c>
    </row>
    <row r="34">
      <c r="A34" s="11" t="inlineStr">
        <is>
          <t>산출세액_A (원)</t>
        </is>
      </c>
      <c r="B34" s="14">
        <f>MAX(B31*B32-B33,0)</f>
        <v/>
      </c>
    </row>
    <row r="35">
      <c r="A35" s="11" t="inlineStr">
        <is>
          <t>▸ 시나리오 A 최종세액 (신고세액공제 3% 반영, 원)</t>
        </is>
      </c>
      <c r="B35" s="14">
        <f>B34*0.97</f>
        <v/>
      </c>
    </row>
    <row r="37">
      <c r="A37" s="7" t="inlineStr">
        <is>
          <t>⑤ 시나리오 B 입력 — 지금 사전증여 + 나머지 상속</t>
        </is>
      </c>
    </row>
    <row r="38">
      <c r="A38" s="11" t="inlineStr">
        <is>
          <t>지금 사전증여할 금액 (원)</t>
        </is>
      </c>
      <c r="B38" s="12" t="n">
        <v>300000000</v>
      </c>
    </row>
    <row r="39">
      <c r="A39" s="11" t="inlineStr">
        <is>
          <t>사전증여 후 상속개시까지 예상 경과연수 (년)</t>
        </is>
      </c>
      <c r="B39" s="13" t="n">
        <v>7</v>
      </c>
    </row>
    <row r="41">
      <c r="A41" s="7" t="inlineStr">
        <is>
          <t>⑥ 시나리오 B 계산 — 증여 단계</t>
        </is>
      </c>
    </row>
    <row r="42">
      <c r="A42" s="11" t="inlineStr">
        <is>
          <t>합산 기준연수 (상속인 10년 / 상속인 외의 자 5년)</t>
        </is>
      </c>
      <c r="B42" s="16">
        <f>IF(B25="상속인",10,5)</f>
        <v/>
      </c>
    </row>
    <row r="43">
      <c r="A43" s="11" t="inlineStr">
        <is>
          <t>적용 증여재산공제 한도 (원)</t>
        </is>
      </c>
      <c r="B43" s="14">
        <f>VLOOKUP(B24,A13:B17,2,FALSE)</f>
        <v/>
      </c>
    </row>
    <row r="44">
      <c r="A44" s="11" t="inlineStr">
        <is>
          <t>증여 과세표준 (원)</t>
        </is>
      </c>
      <c r="B44" s="14">
        <f>MAX(B38-B43,0)</f>
        <v/>
      </c>
    </row>
    <row r="45">
      <c r="A45" s="11" t="inlineStr">
        <is>
          <t>증여 적용 세율</t>
        </is>
      </c>
      <c r="B45" s="15">
        <f>VLOOKUP(B44,A5:C9,2,TRUE)</f>
        <v/>
      </c>
    </row>
    <row r="46">
      <c r="A46" s="11" t="inlineStr">
        <is>
          <t>증여 누진공제액 (원)</t>
        </is>
      </c>
      <c r="B46" s="14">
        <f>VLOOKUP(B44,A5:C9,3,TRUE)</f>
        <v/>
      </c>
    </row>
    <row r="47">
      <c r="A47" s="11" t="inlineStr">
        <is>
          <t>증여 산출세액 (원)</t>
        </is>
      </c>
      <c r="B47" s="14">
        <f>MAX(B44*B45-B46,0)</f>
        <v/>
      </c>
    </row>
    <row r="48">
      <c r="A48" s="11" t="inlineStr">
        <is>
          <t>▸ 증여세 최종세액 (신고세액공제 3% 반영, 원)</t>
        </is>
      </c>
      <c r="B48" s="14">
        <f>B47*0.97</f>
        <v/>
      </c>
    </row>
    <row r="50">
      <c r="A50" s="7" t="inlineStr">
        <is>
          <t>⑦ 시나리오 B 계산 — 잔여 상속 단계 (사전증여재산 합산 여부 반영)</t>
        </is>
      </c>
    </row>
    <row r="51">
      <c r="A51" s="11" t="inlineStr">
        <is>
          <t>잔여재산 (전체재산가액 - 사전증여금액, 원)</t>
        </is>
      </c>
      <c r="B51" s="14">
        <f>B20-B38</f>
        <v/>
      </c>
    </row>
    <row r="52">
      <c r="A52" s="11" t="inlineStr">
        <is>
          <t>사전증여재산 합산 여부 (경과연수 &lt; 합산기준연수)</t>
        </is>
      </c>
      <c r="B52" s="16">
        <f>IF(B39&lt;B42,"합산","합산제외")</f>
        <v/>
      </c>
    </row>
    <row r="53">
      <c r="A53" s="11" t="inlineStr">
        <is>
          <t>상속세 과세가액 (합산 시 사전증여재산 가산, 원)</t>
        </is>
      </c>
      <c r="B53" s="14">
        <f>IF(B52="합산",B20,B51)</f>
        <v/>
      </c>
    </row>
    <row r="54">
      <c r="A54" s="11" t="inlineStr">
        <is>
          <t>상속 과세표준 (과세가액 - 상속공제합계_A, 원)</t>
        </is>
      </c>
      <c r="B54" s="14">
        <f>MAX(B53-B30,0)</f>
        <v/>
      </c>
    </row>
    <row r="55">
      <c r="A55" s="11" t="inlineStr">
        <is>
          <t>상속 적용 세율</t>
        </is>
      </c>
      <c r="B55" s="15">
        <f>VLOOKUP(B54,A5:C9,2,TRUE)</f>
        <v/>
      </c>
    </row>
    <row r="56">
      <c r="A56" s="11" t="inlineStr">
        <is>
          <t>상속 누진공제액 (원)</t>
        </is>
      </c>
      <c r="B56" s="14">
        <f>VLOOKUP(B54,A5:C9,3,TRUE)</f>
        <v/>
      </c>
    </row>
    <row r="57">
      <c r="A57" s="11" t="inlineStr">
        <is>
          <t>상속 산출세액 (차감 전, 원)</t>
        </is>
      </c>
      <c r="B57" s="14">
        <f>MAX(B54*B55-B56,0)</f>
        <v/>
      </c>
    </row>
    <row r="58">
      <c r="A58" s="11" t="inlineStr">
        <is>
          <t>증여세액공제 (이중과세 방지, 합산 시에만, 원)</t>
        </is>
      </c>
      <c r="B58" s="14">
        <f>IF(B52="합산",B47,0)</f>
        <v/>
      </c>
    </row>
    <row r="59">
      <c r="A59" s="11" t="inlineStr">
        <is>
          <t>상속 산출세액 (차감 후, 원)</t>
        </is>
      </c>
      <c r="B59" s="14">
        <f>MAX(B57-B58,0)</f>
        <v/>
      </c>
    </row>
    <row r="60">
      <c r="A60" s="11" t="inlineStr">
        <is>
          <t>▸ 상속세 최종세액 (신고세액공제 3% 반영, 원)</t>
        </is>
      </c>
      <c r="B60" s="14">
        <f>B59*0.97</f>
        <v/>
      </c>
    </row>
    <row r="62">
      <c r="A62" s="11" t="inlineStr">
        <is>
          <t>★ 시나리오 B 총세액 (증여세+상속세, 원)</t>
        </is>
      </c>
      <c r="B62" s="14">
        <f>B48+B60</f>
        <v/>
      </c>
    </row>
    <row r="65">
      <c r="A65" s="7" t="inlineStr">
        <is>
          <t>⑧ 비교 결과</t>
        </is>
      </c>
    </row>
    <row r="66">
      <c r="A66" s="11" t="inlineStr">
        <is>
          <t>시나리오 A 총세액 (전부 상속, 원)</t>
        </is>
      </c>
      <c r="B66" s="14">
        <f>B35</f>
        <v/>
      </c>
    </row>
    <row r="67">
      <c r="A67" s="11" t="inlineStr">
        <is>
          <t>시나리오 B 총세액 (사전증여+잔여상속, 원)</t>
        </is>
      </c>
      <c r="B67" s="14">
        <f>B62</f>
        <v/>
      </c>
    </row>
    <row r="68">
      <c r="A68" s="11" t="inlineStr">
        <is>
          <t>차이 (A-B, 양수면 사전증여가 유리, 원)</t>
        </is>
      </c>
      <c r="B68" s="14">
        <f>B66-B67</f>
        <v/>
      </c>
    </row>
    <row r="69">
      <c r="A69" s="17" t="inlineStr">
        <is>
          <t>★ 판정</t>
        </is>
      </c>
      <c r="B69" s="18">
        <f>IF(B68&gt;0,"사전증여가 유리(세금 절감)",IF(B68&lt;0,"상속이 유리(현행 유지)","세부담 동일"))</f>
        <v/>
      </c>
    </row>
    <row r="71" ht="45" customHeight="1">
      <c r="A71" s="5" t="inlineStr">
        <is>
          <t>⚠ 이 비교는 재산 가치가 증여 시점과 상속 시점에 동일하다고 가정합니다. 실제로는 부동산·주식처럼 가치가 변동하는 자산은 '낮은 가치일 때 미리 증여'하는 편이 유리할 수 있으니, 자산별 가치 상승 전망을 별도로 고려해 세무사와 상담하세요.</t>
        </is>
      </c>
    </row>
  </sheetData>
  <mergeCells count="1">
    <mergeCell ref="A71:D71"/>
  </mergeCells>
  <dataValidations count="3">
    <dataValidation sqref="B21" showDropDown="0" showInputMessage="0" showErrorMessage="0" allowBlank="1" type="list">
      <formula1>"예,아니오"</formula1>
    </dataValidation>
    <dataValidation sqref="B24" showDropDown="0" showInputMessage="0" showErrorMessage="0" allowBlank="1" type="list">
      <formula1>=$A$13:$A$17</formula1>
    </dataValidation>
    <dataValidation sqref="B25" showDropDown="0" showInputMessage="0" showErrorMessage="0" allowBlank="1" type="list">
      <formula1>"상속인,상속인 외의 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2026-10-09T21:28:40Z</dcterms:created>
  <dcterms:modified xmlns:dcterms="http://purl.org/dc/terms/" xmlns:xsi="http://www.w3.org/2001/XMLSchema-instance" xsi:type="dcterms:W3CDTF">2026-10-09T21:28:40Z</dcterms:modified>
</cp:coreProperties>
</file>