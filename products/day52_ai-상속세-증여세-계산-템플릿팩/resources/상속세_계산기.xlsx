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i val="1"/>
      <color rgb="00565F72"/>
      <sz val="9.5"/>
    </font>
    <font>
      <b val="1"/>
      <color rgb="00262C3D"/>
      <sz val="10.5"/>
    </font>
    <font>
      <b val="1"/>
      <color rgb="00FFFFFF"/>
      <sz val="9.5"/>
    </font>
    <font>
      <b val="1"/>
      <color rgb="00262C3D"/>
      <sz val="11"/>
    </font>
    <font>
      <b val="1"/>
      <color rgb="008F6215"/>
      <sz val="12"/>
    </font>
  </fonts>
  <fills count="5">
    <fill>
      <patternFill/>
    </fill>
    <fill>
      <patternFill patternType="gray125"/>
    </fill>
    <fill>
      <patternFill patternType="solid">
        <fgColor rgb="00B87F1F"/>
        <bgColor rgb="00B87F1F"/>
      </patternFill>
    </fill>
    <fill>
      <patternFill patternType="solid">
        <fgColor rgb="00FFF6D9"/>
        <bgColor rgb="00FFF6D9"/>
      </patternFill>
    </fill>
    <fill>
      <patternFill patternType="solid">
        <fgColor rgb="00E3E6CE"/>
        <b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3" fontId="3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3" fontId="3" fillId="3" borderId="0" pivotButton="0" quotePrefix="0" xfId="0"/>
    <xf numFmtId="3" fontId="5" fillId="4" borderId="0" pivotButton="0" quotePrefix="0" xfId="0"/>
    <xf numFmtId="0" fontId="3" fillId="3" borderId="0" pivotButton="0" quotePrefix="0" xfId="0"/>
    <xf numFmtId="10" fontId="5" fillId="4" borderId="0" pivotButton="0" quotePrefix="0" xfId="0"/>
    <xf numFmtId="0" fontId="7" fillId="0" borderId="0" pivotButton="0" quotePrefix="0" xfId="0"/>
    <xf numFmtId="3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n"/>
    </row>
    <row r="2">
      <c r="B2" s="2" t="inlineStr">
        <is>
          <t>상속세 계산기</t>
        </is>
      </c>
    </row>
    <row r="3">
      <c r="B3" s="1" t="n"/>
    </row>
    <row r="4">
      <c r="B4" s="3" t="inlineStr">
        <is>
          <t>⚠ 사용 전 꼭 읽어주세요</t>
        </is>
      </c>
    </row>
    <row r="5">
      <c r="B5" s="4" t="inlineStr">
        <is>
          <t>본 계산기는 상속세의 기초공제·일괄공제·배우자공제·인적공제(자녀/미성년자/연로자)와 누진세율표(10~50%)를 반영해</t>
        </is>
      </c>
    </row>
    <row r="6">
      <c r="B6" s="4" t="inlineStr">
        <is>
          <t>상속재산·상속인 구성을 입력하면 예상 상속세를 계산하는 참고용 도구입니다. (기준: 2026년 10월 확인)</t>
        </is>
      </c>
    </row>
    <row r="7">
      <c r="B7" s="1" t="n"/>
    </row>
    <row r="8">
      <c r="B8" s="3" t="inlineStr">
        <is>
          <t>사용법</t>
        </is>
      </c>
    </row>
    <row r="9">
      <c r="B9" s="4" t="inlineStr">
        <is>
          <t>① '계산기' 시트 상단 세율표를 확인합니다 (현행 상속세·증여세 공통 누진세율).</t>
        </is>
      </c>
    </row>
    <row r="10">
      <c r="B10" s="4" t="inlineStr">
        <is>
          <t>② 노란색 칸(조건 입력)에 상속재산(부동산·금융자산·기타재산·채무)을 입력합니다.</t>
        </is>
      </c>
    </row>
    <row r="11">
      <c r="B11" s="4" t="inlineStr">
        <is>
          <t>③ 상속인 구성(배우자 생존 여부·배우자 실제 상속액·자녀 수·미성년 자녀 수와 평균 잔여연수·65세 이상 상속인 수)을 입력합니다.</t>
        </is>
      </c>
    </row>
    <row r="12">
      <c r="B12" s="4" t="inlineStr">
        <is>
          <t>④ 올리브색 칸에서 인적공제 → 기초/일괄공제 비교 → 배우자공제 → 과세표준 → 세율 적용 → 산출세액 → 신고세액공제 반영 최종 납부세액까지 자동 계산됩니다.</t>
        </is>
      </c>
    </row>
    <row r="13">
      <c r="B13" s="4" t="inlineStr">
        <is>
          <t>⑤ 지금 일부를 미리 증여할지 고민된다면 '상속_vs_사전증여_비교_계산기.xlsx'로 넘어가 두 시나리오의 총 세부담을 비교하세요.</t>
        </is>
      </c>
    </row>
    <row r="14">
      <c r="B14" s="1" t="n"/>
    </row>
    <row r="15" ht="60" customHeight="1">
      <c r="B15" s="5" t="inlineStr">
        <is>
          <t>이 계산기는 확정 세액이 아니라 참고용 추정치입니다. 배우자공제·인적공제의 세부 요건(배우자 단독상속 시 일괄공제 불가 등)과 세율·공제 기준은 법 개정으로 바뀔 수 있으므로, 실제 신고 전 국세청 홈택스(hometax.go.kr) 모의계산이나 세무사 확인으로 반드시 재확인하세요. 이 도구는 세무사 업무(신고 대리 등)를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0" customWidth="1" min="3" max="3"/>
    <col width="30" customWidth="1" min="4" max="4"/>
  </cols>
  <sheetData>
    <row r="1">
      <c r="A1" s="6" t="inlineStr">
        <is>
          <t>상속세 계산기</t>
        </is>
      </c>
    </row>
    <row r="3">
      <c r="A3" s="7" t="inlineStr">
        <is>
          <t>① 상속세·증여세 공통 누진세율표</t>
        </is>
      </c>
    </row>
    <row r="4">
      <c r="A4" s="8" t="inlineStr">
        <is>
          <t>과세표준 구간 시작(원)</t>
        </is>
      </c>
      <c r="B4" s="8" t="inlineStr">
        <is>
          <t>적용 세율</t>
        </is>
      </c>
      <c r="C4" s="8" t="inlineStr">
        <is>
          <t>누진공제액(원)</t>
        </is>
      </c>
    </row>
    <row r="5">
      <c r="A5" s="9" t="n">
        <v>0</v>
      </c>
      <c r="B5" s="10" t="n">
        <v>0.1</v>
      </c>
      <c r="C5" s="9" t="n">
        <v>0</v>
      </c>
    </row>
    <row r="6">
      <c r="A6" s="9" t="n">
        <v>100000000</v>
      </c>
      <c r="B6" s="10" t="n">
        <v>0.2</v>
      </c>
      <c r="C6" s="9" t="n">
        <v>10000000</v>
      </c>
    </row>
    <row r="7">
      <c r="A7" s="9" t="n">
        <v>500000000</v>
      </c>
      <c r="B7" s="10" t="n">
        <v>0.3</v>
      </c>
      <c r="C7" s="9" t="n">
        <v>60000000</v>
      </c>
    </row>
    <row r="8">
      <c r="A8" s="9" t="n">
        <v>1000000000</v>
      </c>
      <c r="B8" s="10" t="n">
        <v>0.4</v>
      </c>
      <c r="C8" s="9" t="n">
        <v>160000000</v>
      </c>
    </row>
    <row r="9">
      <c r="A9" s="9" t="n">
        <v>3000000000</v>
      </c>
      <c r="B9" s="10" t="n">
        <v>0.5</v>
      </c>
      <c r="C9" s="9" t="n">
        <v>460000000</v>
      </c>
    </row>
    <row r="11">
      <c r="A11" s="7" t="inlineStr">
        <is>
          <t>② 상속재산 입력</t>
        </is>
      </c>
    </row>
    <row r="12">
      <c r="A12" s="11" t="inlineStr">
        <is>
          <t>부동산 평가액 (원, 시가 또는 보충적 평가액)</t>
        </is>
      </c>
      <c r="B12" s="12" t="n">
        <v>1000000000</v>
      </c>
    </row>
    <row r="13">
      <c r="A13" s="11" t="inlineStr">
        <is>
          <t>금융자산 (예금·주식 등, 원)</t>
        </is>
      </c>
      <c r="B13" s="12" t="n">
        <v>200000000</v>
      </c>
    </row>
    <row r="14">
      <c r="A14" s="11" t="inlineStr">
        <is>
          <t>기타재산 (자동차·동산 등, 원)</t>
        </is>
      </c>
      <c r="B14" s="12" t="n">
        <v>30000000</v>
      </c>
    </row>
    <row r="15">
      <c r="A15" s="11" t="inlineStr">
        <is>
          <t>채무 총액 (대출·임대보증금 반환채무 등, 원)</t>
        </is>
      </c>
      <c r="B15" s="12" t="n">
        <v>50000000</v>
      </c>
    </row>
    <row r="17">
      <c r="A17" s="11" t="inlineStr">
        <is>
          <t>상속재산 총액 (적극재산 합계, 원)</t>
        </is>
      </c>
      <c r="B17" s="13">
        <f>B12+B13+B14</f>
        <v/>
      </c>
    </row>
    <row r="18">
      <c r="A18" s="11" t="inlineStr">
        <is>
          <t>순 상속재산 (적극재산 - 채무, 원)</t>
        </is>
      </c>
      <c r="B18" s="13">
        <f>B17-B15</f>
        <v/>
      </c>
    </row>
    <row r="20">
      <c r="A20" s="7" t="inlineStr">
        <is>
          <t>③ 상속인 구성 입력</t>
        </is>
      </c>
    </row>
    <row r="21">
      <c r="A21" s="11" t="inlineStr">
        <is>
          <t>배우자 생존 여부</t>
        </is>
      </c>
      <c r="B21" s="14" t="inlineStr">
        <is>
          <t>예</t>
        </is>
      </c>
    </row>
    <row r="22">
      <c r="A22" s="11" t="inlineStr">
        <is>
          <t>배우자가 실제 상속받기로 한 금액 (원)</t>
        </is>
      </c>
      <c r="B22" s="12" t="n">
        <v>600000000</v>
      </c>
    </row>
    <row r="23">
      <c r="A23" s="11" t="inlineStr">
        <is>
          <t>자녀 수 (명)</t>
        </is>
      </c>
      <c r="B23" s="14" t="n">
        <v>2</v>
      </c>
    </row>
    <row r="24">
      <c r="A24" s="11" t="inlineStr">
        <is>
          <t>자녀 중 미성년자 수 (명)</t>
        </is>
      </c>
      <c r="B24" s="14" t="n">
        <v>0</v>
      </c>
    </row>
    <row r="25">
      <c r="A25" s="11" t="inlineStr">
        <is>
          <t>미성년 자녀의 19세까지 평균 잔여연수 (년, 미성년자 없으면 0)</t>
        </is>
      </c>
      <c r="B25" s="14" t="n">
        <v>0</v>
      </c>
    </row>
    <row r="26">
      <c r="A26" s="11" t="inlineStr">
        <is>
          <t>65세 이상 상속인 수 (배우자 제외, 명)</t>
        </is>
      </c>
      <c r="B26" s="14" t="n">
        <v>0</v>
      </c>
    </row>
    <row r="28">
      <c r="A28" s="7" t="inlineStr">
        <is>
          <t>④ 인적공제 계산</t>
        </is>
      </c>
    </row>
    <row r="29">
      <c r="A29" s="11" t="inlineStr">
        <is>
          <t>자녀공제 (자녀 1인당 5,000만원, 원)</t>
        </is>
      </c>
      <c r="B29" s="13">
        <f>B23*50000000</f>
        <v/>
      </c>
    </row>
    <row r="30">
      <c r="A30" s="11" t="inlineStr">
        <is>
          <t>미성년자공제 (1,000만원 × (19세-나이), 원)</t>
        </is>
      </c>
      <c r="B30" s="13">
        <f>B24*B25*10000000</f>
        <v/>
      </c>
    </row>
    <row r="31">
      <c r="A31" s="11" t="inlineStr">
        <is>
          <t>연로자공제 (65세 이상 1인당 5,000만원, 원)</t>
        </is>
      </c>
      <c r="B31" s="13">
        <f>B26*50000000</f>
        <v/>
      </c>
    </row>
    <row r="32">
      <c r="A32" s="11" t="inlineStr">
        <is>
          <t>인적공제 합계 (원)</t>
        </is>
      </c>
      <c r="B32" s="13">
        <f>B29+B30+B31</f>
        <v/>
      </c>
    </row>
    <row r="34">
      <c r="A34" s="7" t="inlineStr">
        <is>
          <t>⑤ 기초공제 vs 일괄공제 비교 (유리한 쪽 자동 선택)</t>
        </is>
      </c>
    </row>
    <row r="35">
      <c r="A35" s="11" t="inlineStr">
        <is>
          <t>기초공제 (모든 상속에 적용, 원)</t>
        </is>
      </c>
      <c r="B35" s="13" t="n">
        <v>200000000</v>
      </c>
    </row>
    <row r="36">
      <c r="A36" s="11" t="inlineStr">
        <is>
          <t>일괄공제 (선택형, 원)</t>
        </is>
      </c>
      <c r="B36" s="13" t="n">
        <v>500000000</v>
      </c>
    </row>
    <row r="37">
      <c r="A37" s="11" t="inlineStr">
        <is>
          <t>기초공제 + 인적공제 합계 (원)</t>
        </is>
      </c>
      <c r="B37" s="13">
        <f>B35+B32</f>
        <v/>
      </c>
    </row>
    <row r="38">
      <c r="A38" s="11" t="inlineStr">
        <is>
          <t>적용 공제 (기초+인적 vs 일괄공제 중 큰 값, 원)</t>
        </is>
      </c>
      <c r="B38" s="13">
        <f>MAX(B37,B36)</f>
        <v/>
      </c>
    </row>
    <row r="40">
      <c r="A40" s="7" t="inlineStr">
        <is>
          <t>⑥ 배우자공제 계산 (최소 5억~최대 30억, 실제 상속액 기준)</t>
        </is>
      </c>
    </row>
    <row r="41">
      <c r="A41" s="11" t="inlineStr">
        <is>
          <t>배우자공제 (원)</t>
        </is>
      </c>
      <c r="B41" s="13">
        <f>IF(B21="예",MIN(MAX(B22,500000000),3000000000),0)</f>
        <v/>
      </c>
    </row>
    <row r="43">
      <c r="A43" s="7" t="inlineStr">
        <is>
          <t>⑦ 과세표준 · 산출세액 · 최종 납부세액</t>
        </is>
      </c>
    </row>
    <row r="44">
      <c r="A44" s="11" t="inlineStr">
        <is>
          <t>총 공제액 (적용 공제 + 배우자공제, 원)</t>
        </is>
      </c>
      <c r="B44" s="13">
        <f>B38+B41</f>
        <v/>
      </c>
    </row>
    <row r="45">
      <c r="A45" s="11" t="inlineStr">
        <is>
          <t>과세표준 (순 상속재산 - 총 공제액, 원)</t>
        </is>
      </c>
      <c r="B45" s="13">
        <f>MAX(B18-B44,0)</f>
        <v/>
      </c>
    </row>
    <row r="46">
      <c r="A46" s="11" t="inlineStr">
        <is>
          <t>적용 세율</t>
        </is>
      </c>
      <c r="B46" s="15">
        <f>VLOOKUP(B45,A5:C9,2,TRUE)</f>
        <v/>
      </c>
    </row>
    <row r="47">
      <c r="A47" s="11" t="inlineStr">
        <is>
          <t>누진공제액 (원)</t>
        </is>
      </c>
      <c r="B47" s="13">
        <f>VLOOKUP(B45,A5:C9,3,TRUE)</f>
        <v/>
      </c>
    </row>
    <row r="48">
      <c r="A48" s="11" t="inlineStr">
        <is>
          <t>산출세액 (과세표준×세율-누진공제액, 원)</t>
        </is>
      </c>
      <c r="B48" s="13">
        <f>MAX(B45*B46-B47,0)</f>
        <v/>
      </c>
    </row>
    <row r="49">
      <c r="A49" s="11" t="inlineStr">
        <is>
          <t>신고세액공제 (산출세액 × 3%, 원)</t>
        </is>
      </c>
      <c r="B49" s="13">
        <f>B48*0.03</f>
        <v/>
      </c>
    </row>
    <row r="50">
      <c r="A50" s="16" t="inlineStr">
        <is>
          <t>★ 최종 납부세액 (원)</t>
        </is>
      </c>
      <c r="B50" s="17">
        <f>B48-B49</f>
        <v/>
      </c>
    </row>
    <row r="52" ht="30" customHeight="1">
      <c r="A52" s="5" t="inlineStr">
        <is>
          <t>⚠ 배우자 단독상속 시에는 일괄공제를 선택할 수 없습니다(기초공제+인적공제만 적용). 이 계산기는 해당 예외를 자동 반영하지 않으니, 배우자 단독상속 사례는 반드시 수동으로 재확인하세요.</t>
        </is>
      </c>
    </row>
  </sheetData>
  <mergeCells count="1">
    <mergeCell ref="A52:D52"/>
  </mergeCells>
  <dataValidations count="1">
    <dataValidation sqref="B21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2026-10-09T21:26:57Z</dcterms:created>
  <dcterms:modified xmlns:dcterms="http://purl.org/dc/terms/" xmlns:xsi="http://www.w3.org/2001/XMLSchema-instance" xsi:type="dcterms:W3CDTF">2026-10-09T21:26:57Z</dcterms:modified>
</cp:coreProperties>
</file>