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color rgb="00565F72"/>
      <sz val="9.5"/>
    </font>
    <font>
      <b val="1"/>
      <color rgb="00262C3D"/>
      <sz val="11"/>
    </font>
    <font>
      <color rgb="00262C3D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5" fillId="3" borderId="0" pivotButton="0" quotePrefix="0" xfId="0"/>
    <xf numFmtId="0" fontId="7" fillId="4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특례적용 재계산기 (6+6 · 한부모·장애아 · 기간연장)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6+6 부모육아휴직제 특례, 한부모·장애아 특례, 기간연장(1년→1년6개월) 조건을</t>
        </is>
      </c>
    </row>
    <row r="6">
      <c r="B6" s="3" t="inlineStr">
        <is>
          <t>반영했을 때와 반영하지 않았을 때(일반 구조)의 전체 기간 총 수령액을 시나리오별로 비교하는</t>
        </is>
      </c>
    </row>
    <row r="7">
      <c r="B7" s="3" t="inlineStr">
        <is>
          <t>참고용 도구입니다. (기준: 2026년 10월 확인)</t>
        </is>
      </c>
    </row>
    <row r="9">
      <c r="B9" s="2" t="inlineStr">
        <is>
          <t>사용법</t>
        </is>
      </c>
    </row>
    <row r="10">
      <c r="B10" s="3" t="inlineStr">
        <is>
          <t>① 노란색 칸에 월 통상임금과 특례·연장 관련 조건(예/아니오)을 입력합니다.</t>
        </is>
      </c>
    </row>
    <row r="11">
      <c r="B11" s="3" t="inlineStr">
        <is>
          <t>② 올리브색 칸에서 특례 대상 여부·기간연장 가능 여부가 자동 판정되고,</t>
        </is>
      </c>
    </row>
    <row r="12">
      <c r="B12" s="3" t="inlineStr">
        <is>
          <t xml:space="preserve">   아래 시나리오 비교표에 4가지 경우의 총 수령액이 함께 계산됩니다.</t>
        </is>
      </c>
    </row>
    <row r="13">
      <c r="B13" s="3" t="inlineStr">
        <is>
          <t>③ 실제 적용 가능한 시나리오를 찾아 '육아휴직급여_계산기.xlsx'의 결과와 함께 리포트에 반영하세요.</t>
        </is>
      </c>
    </row>
    <row r="15" ht="60" customHeight="1">
      <c r="B15" s="4" t="inlineStr">
        <is>
          <t>이 계산기는 확정 지급액이 아니라 참고용 추정치입니다. 출산전후휴가급여·육아휴직급여의 지급률·상한액·하한액·특례 조건은 저출생 대책 등 정책 개편으로 자주 바뀌므로, 실제 적용 전 반드시 고용24(work24.go.kr)·고용노동부 고시로 재확인하세요. 이 도구는 고용센터·노무사의 고유 업무(실제 신청서 접수 대행, 이의신청 대행)를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특례적용 재계산기</t>
        </is>
      </c>
    </row>
    <row r="3">
      <c r="A3" s="5" t="inlineStr">
        <is>
          <t>① 조건 입력</t>
        </is>
      </c>
    </row>
    <row r="4">
      <c r="A4" s="3" t="inlineStr">
        <is>
          <t>월 통상임금 (원)</t>
        </is>
      </c>
      <c r="B4" s="6" t="n">
        <v>3000000</v>
      </c>
    </row>
    <row r="5">
      <c r="A5" s="3" t="inlineStr">
        <is>
          <t>부모 모두 자녀 생후 18개월 안에 육아휴직 사용 예정 (예/아니오)</t>
        </is>
      </c>
      <c r="B5" s="6" t="inlineStr">
        <is>
          <t>예</t>
        </is>
      </c>
    </row>
    <row r="6">
      <c r="A6" s="3" t="inlineStr">
        <is>
          <t>부모 각각 육아휴직 사용 예정 (예/아니오, 6+6 특례 필수 조건)</t>
        </is>
      </c>
      <c r="B6" s="6" t="inlineStr">
        <is>
          <t>예</t>
        </is>
      </c>
    </row>
    <row r="7">
      <c r="A7" s="3" t="inlineStr">
        <is>
          <t>한부모 근로자 여부 (예/아니오)</t>
        </is>
      </c>
      <c r="B7" s="6" t="inlineStr">
        <is>
          <t>아니오</t>
        </is>
      </c>
    </row>
    <row r="8">
      <c r="A8" s="3" t="inlineStr">
        <is>
          <t>장애아 양육 여부 (예/아니오)</t>
        </is>
      </c>
      <c r="B8" s="6" t="inlineStr">
        <is>
          <t>아니오</t>
        </is>
      </c>
    </row>
    <row r="9">
      <c r="A9" s="3" t="inlineStr">
        <is>
          <t>부모 각각 3개월 이상 육아휴직 사용 계획 (예/아니오, 기간연장 조건)</t>
        </is>
      </c>
      <c r="B9" s="6" t="inlineStr">
        <is>
          <t>예</t>
        </is>
      </c>
    </row>
    <row r="11">
      <c r="A11" s="5" t="inlineStr">
        <is>
          <t>② 특례·연장 대상 여부 판정</t>
        </is>
      </c>
    </row>
    <row r="12">
      <c r="A12" s="3" t="inlineStr">
        <is>
          <t>6+6 부모육아휴직제 특례 대상 여부</t>
        </is>
      </c>
      <c r="B12" s="7">
        <f>IF(AND(B5="예",B6="예"),"적용대상","미적용")</f>
        <v/>
      </c>
    </row>
    <row r="13">
      <c r="A13" s="3" t="inlineStr">
        <is>
          <t>한부모 특례(1~3개월 상한 상향) 대상 여부</t>
        </is>
      </c>
      <c r="B13" s="7">
        <f>IF(B7="예","적용대상","미적용")</f>
        <v/>
      </c>
    </row>
    <row r="14">
      <c r="A14" s="3" t="inlineStr">
        <is>
          <t>장애아 특례(연장 조건 완화) 대상 여부</t>
        </is>
      </c>
      <c r="B14" s="7">
        <f>IF(B8="예","적용대상","미적용")</f>
        <v/>
      </c>
    </row>
    <row r="15">
      <c r="A15" s="3" t="inlineStr">
        <is>
          <t>기간연장(1년→1년6개월) 가능 여부</t>
        </is>
      </c>
      <c r="B15" s="7">
        <f>IF(OR(B9="예",B7="예",B8="예"),"연장 가능(최대18개월)","연장 불가(최대12개월)")</f>
        <v/>
      </c>
    </row>
    <row r="17">
      <c r="A17" s="5" t="inlineStr">
        <is>
          <t>③ 6+6 특례 월별 상한액 기준표 (부모 각 1인 기준, 기준값)</t>
        </is>
      </c>
    </row>
    <row r="18">
      <c r="A18" s="8" t="inlineStr">
        <is>
          <t>구간</t>
        </is>
      </c>
      <c r="B18" s="8" t="inlineStr">
        <is>
          <t>지급률</t>
        </is>
      </c>
      <c r="C18" s="8" t="inlineStr">
        <is>
          <t>월 상한액(원)</t>
        </is>
      </c>
    </row>
    <row r="19">
      <c r="A19" s="3" t="inlineStr">
        <is>
          <t>1개월</t>
        </is>
      </c>
      <c r="B19" s="3" t="n">
        <v>1</v>
      </c>
      <c r="C19" s="3" t="n">
        <v>2000000</v>
      </c>
    </row>
    <row r="20">
      <c r="A20" s="3" t="inlineStr">
        <is>
          <t>2개월</t>
        </is>
      </c>
      <c r="B20" s="3" t="n">
        <v>1</v>
      </c>
      <c r="C20" s="3" t="n">
        <v>2500000</v>
      </c>
    </row>
    <row r="21">
      <c r="A21" s="3" t="inlineStr">
        <is>
          <t>3개월</t>
        </is>
      </c>
      <c r="B21" s="3" t="n">
        <v>1</v>
      </c>
      <c r="C21" s="3" t="n">
        <v>3000000</v>
      </c>
    </row>
    <row r="22">
      <c r="A22" s="3" t="inlineStr">
        <is>
          <t>4개월</t>
        </is>
      </c>
      <c r="B22" s="3" t="n">
        <v>1</v>
      </c>
      <c r="C22" s="3" t="n">
        <v>3500000</v>
      </c>
    </row>
    <row r="23">
      <c r="A23" s="3" t="inlineStr">
        <is>
          <t>5개월</t>
        </is>
      </c>
      <c r="B23" s="3" t="n">
        <v>1</v>
      </c>
      <c r="C23" s="3" t="n">
        <v>4000000</v>
      </c>
    </row>
    <row r="24">
      <c r="A24" s="3" t="inlineStr">
        <is>
          <t>6개월</t>
        </is>
      </c>
      <c r="B24" s="3" t="n">
        <v>1</v>
      </c>
      <c r="C24" s="3" t="n">
        <v>4500000</v>
      </c>
    </row>
    <row r="26">
      <c r="A26" s="5" t="inlineStr">
        <is>
          <t>④ 시나리오별 전체 기간 총 수령액 비교</t>
        </is>
      </c>
    </row>
    <row r="27">
      <c r="A27" s="8" t="inlineStr">
        <is>
          <t>시나리오</t>
        </is>
      </c>
      <c r="B27" s="8" t="inlineStr">
        <is>
          <t>적용 구조</t>
        </is>
      </c>
      <c r="C27" s="8" t="inlineStr">
        <is>
          <t>전체 기간</t>
        </is>
      </c>
      <c r="D27" s="8" t="inlineStr">
        <is>
          <t>총 수령액(원)</t>
        </is>
      </c>
    </row>
    <row r="28">
      <c r="A28" s="3" t="inlineStr">
        <is>
          <t>시나리오 1</t>
        </is>
      </c>
      <c r="B28" s="3" t="inlineStr">
        <is>
          <t>일반 구조, 특례 없음</t>
        </is>
      </c>
      <c r="C28" s="3" t="inlineStr">
        <is>
          <t>12개월</t>
        </is>
      </c>
      <c r="D28" s="7">
        <f>MAX(MIN($B$4*0.8,2500000),700000)*3+MAX(MIN($B$4*0.8,2000000),700000)*3+MAX(MIN($B$4*0.8,1600000),700000)*6</f>
        <v/>
      </c>
    </row>
    <row r="29">
      <c r="A29" s="3" t="inlineStr">
        <is>
          <t>시나리오 2</t>
        </is>
      </c>
      <c r="B29" s="3" t="inlineStr">
        <is>
          <t>6+6 특례(첫 6개월, 부모 각 1인 기준)+일반(7~12개월)</t>
        </is>
      </c>
      <c r="C29" s="3" t="inlineStr">
        <is>
          <t>12개월</t>
        </is>
      </c>
      <c r="D29" s="7">
        <f>(MIN($B$4,2000000)+MIN($B$4,2500000)+MIN($B$4,3000000)+MIN($B$4,3500000)+MIN($B$4,4000000)+MIN($B$4,4500000))+MAX(MIN($B$4*0.8,1600000),700000)*6</f>
        <v/>
      </c>
    </row>
    <row r="30">
      <c r="A30" s="3" t="inlineStr">
        <is>
          <t>시나리오 3</t>
        </is>
      </c>
      <c r="B30" s="3" t="inlineStr">
        <is>
          <t>한부모 특례(1~3개월 상한 300만)+일반(4~12개월)</t>
        </is>
      </c>
      <c r="C30" s="3" t="inlineStr">
        <is>
          <t>12개월</t>
        </is>
      </c>
      <c r="D30" s="7">
        <f>MAX(MIN($B$4*0.8,3000000),700000)*3+MAX(MIN($B$4*0.8,2000000),700000)*3+MAX(MIN($B$4*0.8,1600000),700000)*6</f>
        <v/>
      </c>
    </row>
    <row r="31">
      <c r="A31" s="3" t="inlineStr">
        <is>
          <t>시나리오 4</t>
        </is>
      </c>
      <c r="B31" s="3" t="inlineStr">
        <is>
          <t>기간연장 인정, 일반 구조 18개월 전체</t>
        </is>
      </c>
      <c r="C31" s="3" t="inlineStr">
        <is>
          <t>18개월</t>
        </is>
      </c>
      <c r="D31" s="7">
        <f>MAX(MIN($B$4*0.8,2500000),700000)*3+MAX(MIN($B$4*0.8,2000000),700000)*3+MAX(MIN($B$4*0.8,1600000),700000)*6+MAX(MIN($B$4*0.8,1600000),700000)*6</f>
        <v/>
      </c>
    </row>
    <row r="33" ht="48" customHeight="1">
      <c r="A33" s="9" t="inlineStr">
        <is>
          <t>⚠ 시나리오 2(6+6 특례)는 부모 각 1인의 수령액입니다. 부모가 모두 특례를 쓰면 가구 전체 수령액은 두 사람분을 더해야 합니다. 시나리오는 B5~B9 입력값과 무관하게 항상 4가지 모두 계산되므로, ②의 판정 결과를 먼저 확인해 실제 적용 가능한 시나리오만 골라 리포트에 반영하세요.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2026-10-17T21:14:01Z</dcterms:created>
  <dcterms:modified xmlns:dcterms="http://purl.org/dc/terms/" xmlns:xsi="http://www.w3.org/2001/XMLSchema-instance" xsi:type="dcterms:W3CDTF">2026-10-17T21:14:01Z</dcterms:modified>
</cp:coreProperties>
</file>