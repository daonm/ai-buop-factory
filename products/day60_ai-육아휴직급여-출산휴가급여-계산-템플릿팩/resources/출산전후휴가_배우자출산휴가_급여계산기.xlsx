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  <sz val="11"/>
    </font>
    <font>
      <color rgb="00262C3D"/>
      <sz val="10.5"/>
    </font>
    <font>
      <color rgb="00565F72"/>
      <sz val="9.5"/>
    </font>
    <font>
      <b val="1"/>
      <color rgb="00262C3D"/>
      <sz val="11"/>
    </font>
    <font>
      <color rgb="00262C3D"/>
      <sz val="11"/>
    </font>
    <font>
      <b val="1"/>
      <color rgb="00262C3D"/>
      <sz val="12"/>
    </font>
  </fonts>
  <fills count="4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0" fontId="5" fillId="3" borderId="0" pivotButton="0" quotePrefix="0" xfId="0"/>
    <xf numFmtId="0" fontId="7" fillId="3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출산전후휴가·배우자출산휴가 급여계산기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통상임금을 기준으로 출산전후휴가급여(90/120일)와 배우자 출산휴가급여를</t>
        </is>
      </c>
    </row>
    <row r="6">
      <c r="B6" s="3" t="inlineStr">
        <is>
          <t>사업주 부담분과 고용보험 지급분으로 구분해 계산하는 참고용 도구입니다. (기준: 2026년 10월 확인)</t>
        </is>
      </c>
    </row>
    <row r="8">
      <c r="B8" s="2" t="inlineStr">
        <is>
          <t>사용법</t>
        </is>
      </c>
    </row>
    <row r="9">
      <c r="B9" s="3" t="inlineStr">
        <is>
          <t>① 노란색 칸에 본인·배우자 월 통상임금, 다태아 여부, 우선지원대상기업 여부를 입력합니다.</t>
        </is>
      </c>
    </row>
    <row r="10">
      <c r="B10" s="3" t="inlineStr">
        <is>
          <t>② 올리브색 칸에서 1일 통상임금 → 사업주 부담일수/고용보험 지급일수 구분 → 상한액 적용 →</t>
        </is>
      </c>
    </row>
    <row r="11">
      <c r="B11" s="3" t="inlineStr">
        <is>
          <t xml:space="preserve">   최종 지급액까지 자동 계산됩니다.</t>
        </is>
      </c>
    </row>
    <row r="12">
      <c r="B12" s="3" t="inlineStr">
        <is>
          <t>③ 배우자 출산휴가도 같은 방식으로 아래 ③ 영역에서 계산됩니다.</t>
        </is>
      </c>
    </row>
    <row r="14" ht="60" customHeight="1">
      <c r="B14" s="4" t="inlineStr">
        <is>
          <t>이 계산기는 확정 지급액이 아니라 참고용 추정치입니다. 출산전후휴가급여·육아휴직급여의 지급률·상한액·하한액·특례 조건은 저출생 대책 등 정책 개편으로 자주 바뀌므로, 실제 적용 전 반드시 고용24(work24.go.kr)·고용노동부 고시로 재확인하세요. 이 도구는 고용센터·노무사의 고유 업무(실제 신청서 접수 대행, 이의신청 대행)를 대신하지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출산전후휴가·배우자출산휴가 급여계산기</t>
        </is>
      </c>
    </row>
    <row r="3">
      <c r="A3" s="5" t="inlineStr">
        <is>
          <t>① 조건 입력</t>
        </is>
      </c>
    </row>
    <row r="4">
      <c r="A4" s="3" t="inlineStr">
        <is>
          <t>본인 월 통상임금 (원)</t>
        </is>
      </c>
      <c r="B4" s="6" t="n">
        <v>3000000</v>
      </c>
    </row>
    <row r="5">
      <c r="A5" s="3" t="inlineStr">
        <is>
          <t>다태아 임신 여부 (예/아니오)</t>
        </is>
      </c>
      <c r="B5" s="6" t="inlineStr">
        <is>
          <t>아니오</t>
        </is>
      </c>
    </row>
    <row r="6">
      <c r="A6" s="3" t="inlineStr">
        <is>
          <t>우선지원대상기업 여부 (예/아니오, 중소기업 등)</t>
        </is>
      </c>
      <c r="B6" s="6" t="inlineStr">
        <is>
          <t>예</t>
        </is>
      </c>
    </row>
    <row r="7">
      <c r="A7" s="3" t="inlineStr">
        <is>
          <t>배우자 월 통상임금 (원, 배우자 출산휴가 계산용, 모르면 0)</t>
        </is>
      </c>
      <c r="B7" s="6" t="n">
        <v>3200000</v>
      </c>
    </row>
    <row r="9">
      <c r="A9" s="5" t="inlineStr">
        <is>
          <t>② 출산전후휴가급여 계산</t>
        </is>
      </c>
    </row>
    <row r="10">
      <c r="A10" s="3" t="inlineStr">
        <is>
          <t>1일 통상임금 (월 통상임금 ÷ 30, 원)</t>
        </is>
      </c>
      <c r="B10" s="7">
        <f>B4/30</f>
        <v/>
      </c>
    </row>
    <row r="11">
      <c r="A11" s="3" t="inlineStr">
        <is>
          <t>출산전후휴가 총 일수 (단태아 90일 / 다태아 120일)</t>
        </is>
      </c>
      <c r="B11" s="7">
        <f>IF(B5="예",120,90)</f>
        <v/>
      </c>
    </row>
    <row r="12">
      <c r="A12" s="3" t="inlineStr">
        <is>
          <t>고용보험 상한액 적용 전 사업주 100% 부담 일수 (우선지원대상기업 0일 / 대규모기업 단태아 60·다태아 75일)</t>
        </is>
      </c>
      <c r="B12" s="7">
        <f>IF(B6="예",0,IF(B5="예",75,60))</f>
        <v/>
      </c>
    </row>
    <row r="13">
      <c r="A13" s="3" t="inlineStr">
        <is>
          <t>고용보험 지급 대상 일수</t>
        </is>
      </c>
      <c r="B13" s="7">
        <f>B11-B12</f>
        <v/>
      </c>
    </row>
    <row r="14">
      <c r="A14" s="3" t="inlineStr">
        <is>
          <t>월 상한액 (30일 기준, 기준값, 원)</t>
        </is>
      </c>
      <c r="B14" s="7" t="n">
        <v>2200000</v>
      </c>
    </row>
    <row r="15">
      <c r="A15" s="3" t="inlineStr">
        <is>
          <t>1일 상한액</t>
        </is>
      </c>
      <c r="B15" s="7">
        <f>B14/30</f>
        <v/>
      </c>
    </row>
    <row r="16">
      <c r="A16" s="3" t="inlineStr">
        <is>
          <t>사업주 부담액 (100% 통상임금, 원)</t>
        </is>
      </c>
      <c r="B16" s="7">
        <f>B12*B10</f>
        <v/>
      </c>
    </row>
    <row r="17">
      <c r="A17" s="3" t="inlineStr">
        <is>
          <t>고용보험 지급액 (1일 통상임금과 1일 상한액 중 작은 값 × 지급대상일수, 원)</t>
        </is>
      </c>
      <c r="B17" s="7">
        <f>B13*MIN(B10,B15)</f>
        <v/>
      </c>
    </row>
    <row r="18">
      <c r="A18" s="3" t="inlineStr">
        <is>
          <t>★ 출산전후휴가급여 총 지급액 (사업주부담+고용보험지급, 원)</t>
        </is>
      </c>
      <c r="B18" s="8">
        <f>B16+B17</f>
        <v/>
      </c>
    </row>
    <row r="20">
      <c r="A20" s="5" t="inlineStr">
        <is>
          <t>③ 배우자 출산휴가급여 계산</t>
        </is>
      </c>
    </row>
    <row r="21">
      <c r="A21" s="3" t="inlineStr">
        <is>
          <t>배우자 출산휴가 총 일수 (기준값)</t>
        </is>
      </c>
      <c r="B21" s="7" t="n">
        <v>20</v>
      </c>
    </row>
    <row r="22">
      <c r="A22" s="3" t="inlineStr">
        <is>
          <t>배우자 1일 통상임금 (원)</t>
        </is>
      </c>
      <c r="B22" s="7">
        <f>B7/30</f>
        <v/>
      </c>
    </row>
    <row r="23">
      <c r="A23" s="3" t="inlineStr">
        <is>
          <t>고용보험 지원 일수 (우선지원대상기업만 5일, 그 외 0일, 기준값)</t>
        </is>
      </c>
      <c r="B23" s="7">
        <f>IF(B6="예",5,0)</f>
        <v/>
      </c>
    </row>
    <row r="24">
      <c r="A24" s="3" t="inlineStr">
        <is>
          <t>사업주 부담 일수 (전체 20일 − 고용보험 지원일수)</t>
        </is>
      </c>
      <c r="B24" s="7">
        <f>B21-B23</f>
        <v/>
      </c>
    </row>
    <row r="25">
      <c r="A25" s="3" t="inlineStr">
        <is>
          <t>고용보험 지원액 (1일 통상임금과 1일 상한액 중 작은 값 × 지원일수, 원)</t>
        </is>
      </c>
      <c r="B25" s="7">
        <f>B23*MIN(B22,B15)</f>
        <v/>
      </c>
    </row>
    <row r="26">
      <c r="A26" s="3" t="inlineStr">
        <is>
          <t>사업주 부담액 (100% 통상임금, 원)</t>
        </is>
      </c>
      <c r="B26" s="7">
        <f>B24*B22</f>
        <v/>
      </c>
    </row>
    <row r="27">
      <c r="A27" s="3" t="inlineStr">
        <is>
          <t>★ 배우자 출산휴가급여 총 지급액 (원)</t>
        </is>
      </c>
      <c r="B27" s="8">
        <f>B25+B26</f>
        <v/>
      </c>
    </row>
    <row r="29" ht="48" customHeight="1">
      <c r="A29" s="9" t="inlineStr">
        <is>
          <t>⚠ 대규모기업(우선지원대상기업 아님)은 최초 60일(다태아 75일)을 사업주가 통상임금 100%로 전액 부담하고, 나머지 30일(다태아 45일)만 고용보험에서 상한액 적용 지급합니다. 배우자 출산휴가의 고용보험 지원 5일분도 우선지원대상기업 근로자에 한해 적용되는 기준값입니다. 실제 적용 여부는 사업장 규모를 먼저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2026-10-17T21:14:01Z</dcterms:created>
  <dcterms:modified xmlns:dcterms="http://purl.org/dc/terms/" xmlns:xsi="http://www.w3.org/2001/XMLSchema-instance" xsi:type="dcterms:W3CDTF">2026-10-17T21:14:01Z</dcterms:modified>
</cp:coreProperties>
</file>