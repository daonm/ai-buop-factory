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color rgb="00262C3D"/>
      <sz val="11"/>
    </font>
    <font>
      <b val="1"/>
      <color rgb="00FFFFFF"/>
      <sz val="11"/>
    </font>
    <font>
      <b val="1"/>
      <color rgb="00262C3D"/>
      <sz val="12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B87F1F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5" fillId="4" borderId="0" pivotButton="0" quotePrefix="0" xfId="0"/>
    <xf numFmtId="0" fontId="8" fillId="4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육아휴직급여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통상임금의 80% 지급률에 구간별 월 상한액(1~3개월/4~6개월/7개월이후)과</t>
        </is>
      </c>
    </row>
    <row r="6">
      <c r="B6" s="3" t="inlineStr">
        <is>
          <t>하한액(월 70만원)을 반영해 월별 육아휴직급여를 계산하는 참고용 도구입니다. (기준: 2026년 10월 확인)</t>
        </is>
      </c>
    </row>
    <row r="7">
      <c r="B7" s="3" t="inlineStr">
        <is>
          <t>2025년 1월부터 사후지급금 제도가 폐지되어, 복직 여부와 관계없이 매달 전액이 지급되는 구조로 바뀌었습니다.</t>
        </is>
      </c>
    </row>
    <row r="9">
      <c r="B9" s="2" t="inlineStr">
        <is>
          <t>사용법</t>
        </is>
      </c>
    </row>
    <row r="10">
      <c r="B10" s="3" t="inlineStr">
        <is>
          <t>① 노란색 칸에 월 통상임금과 육아휴직 전체 기간(개월, 최대 18개월)을 입력합니다.</t>
        </is>
      </c>
    </row>
    <row r="11">
      <c r="B11" s="3" t="inlineStr">
        <is>
          <t>② 올리브색 월별표에서 구간별 상한액 적용 → 하한액 보정까지 반영한 실제 월 지급액이 자동으로 채워집니다.</t>
        </is>
      </c>
    </row>
    <row r="12">
      <c r="B12" s="3" t="inlineStr">
        <is>
          <t>③ 입력한 기간보다 뒤의 월차는 공란으로 비워둡니다.</t>
        </is>
      </c>
    </row>
    <row r="14" ht="60" customHeight="1">
      <c r="B14" s="4" t="inlineStr">
        <is>
          <t>이 계산기는 확정 지급액이 아니라 참고용 추정치입니다. 출산전후휴가급여·육아휴직급여의 지급률·상한액·하한액·특례 조건은 저출생 대책 등 정책 개편으로 자주 바뀌므로, 실제 적용 전 반드시 고용24(work24.go.kr)·고용노동부 고시로 재확인하세요. 이 도구는 고용센터·노무사의 고유 업무(실제 신청서 접수 대행, 이의신청 대행)를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2" customWidth="1" min="5" max="5"/>
    <col width="14" customWidth="1" min="6" max="6"/>
    <col width="18" customWidth="1" min="7" max="7"/>
  </cols>
  <sheetData>
    <row r="1">
      <c r="A1" s="1" t="inlineStr">
        <is>
          <t>육아휴직급여 계산기</t>
        </is>
      </c>
    </row>
    <row r="3">
      <c r="A3" s="5" t="inlineStr">
        <is>
          <t>① 조건 입력</t>
        </is>
      </c>
    </row>
    <row r="4">
      <c r="A4" s="3" t="inlineStr">
        <is>
          <t>월 통상임금 (원)</t>
        </is>
      </c>
      <c r="B4" s="6" t="n">
        <v>3000000</v>
      </c>
    </row>
    <row r="5">
      <c r="A5" s="3" t="inlineStr">
        <is>
          <t>육아휴직 전체 기간 (개월, 1~18)</t>
        </is>
      </c>
      <c r="B5" s="6" t="n">
        <v>12</v>
      </c>
    </row>
    <row r="7">
      <c r="A7" s="5" t="inlineStr">
        <is>
          <t>② 구간별 월 상한액·하한액 기준표 (기준값, 신청 시점 고용24 고시로 재확인)</t>
        </is>
      </c>
    </row>
    <row r="8">
      <c r="A8" s="7" t="inlineStr">
        <is>
          <t>구간</t>
        </is>
      </c>
      <c r="B8" s="7" t="inlineStr">
        <is>
          <t>지급률</t>
        </is>
      </c>
      <c r="C8" s="7" t="inlineStr">
        <is>
          <t>월 상한액(원)</t>
        </is>
      </c>
    </row>
    <row r="9">
      <c r="A9" s="3" t="inlineStr">
        <is>
          <t>1~3개월</t>
        </is>
      </c>
      <c r="B9" s="3" t="n">
        <v>0.8</v>
      </c>
      <c r="C9" s="3" t="n">
        <v>2500000</v>
      </c>
    </row>
    <row r="10">
      <c r="A10" s="3" t="inlineStr">
        <is>
          <t>4~6개월</t>
        </is>
      </c>
      <c r="B10" s="3" t="n">
        <v>0.8</v>
      </c>
      <c r="C10" s="3" t="n">
        <v>2000000</v>
      </c>
    </row>
    <row r="11">
      <c r="A11" s="3" t="inlineStr">
        <is>
          <t>7개월 이후</t>
        </is>
      </c>
      <c r="B11" s="3" t="n">
        <v>0.8</v>
      </c>
      <c r="C11" s="3" t="n">
        <v>1600000</v>
      </c>
    </row>
    <row r="13">
      <c r="A13" s="3" t="inlineStr">
        <is>
          <t>하한액 (월, 원)</t>
        </is>
      </c>
      <c r="B13" s="3" t="n">
        <v>700000</v>
      </c>
    </row>
    <row r="15">
      <c r="A15" s="5" t="inlineStr">
        <is>
          <t>③ 월별 지급액표 (상한·하한 반영 후 실제 지급액, 매달 전액 지급)</t>
        </is>
      </c>
    </row>
    <row r="16">
      <c r="A16" s="7" t="inlineStr">
        <is>
          <t>월차</t>
        </is>
      </c>
      <c r="B16" s="7" t="inlineStr">
        <is>
          <t>구간</t>
        </is>
      </c>
      <c r="C16" s="7" t="inlineStr">
        <is>
          <t>상한액 적용 전 (통상×80%)</t>
        </is>
      </c>
      <c r="D16" s="7" t="inlineStr">
        <is>
          <t>구간 상한액</t>
        </is>
      </c>
      <c r="E16" s="7" t="inlineStr">
        <is>
          <t>상한 적용 후</t>
        </is>
      </c>
      <c r="F16" s="7" t="inlineStr">
        <is>
          <t>하한 적용 여부</t>
        </is>
      </c>
      <c r="G16" s="7" t="inlineStr">
        <is>
          <t>최종 월 지급액</t>
        </is>
      </c>
    </row>
    <row r="17">
      <c r="A17" s="8">
        <f>IF($B$5&gt;=1,1,"")</f>
        <v/>
      </c>
      <c r="B17" s="8">
        <f>IF($B$5&lt;1,"",IF(1&lt;=3,"1~3개월",IF(1&lt;=6,"4~6개월","7개월이후")))</f>
        <v/>
      </c>
      <c r="C17" s="8">
        <f>IF($B$5&lt;1,"",$B$4*0.8)</f>
        <v/>
      </c>
      <c r="D17" s="8">
        <f>IF($B$5&lt;1,"",IF(1&lt;=3,$C$9,IF(1&lt;=6,$C$10,$C$11)))</f>
        <v/>
      </c>
      <c r="E17" s="8">
        <f>IF($B$5&lt;1,"",MIN(C17,D17))</f>
        <v/>
      </c>
      <c r="F17" s="8">
        <f>IF($B$5&lt;1,"",IF(E17&lt;$B$13,"적용","-"))</f>
        <v/>
      </c>
      <c r="G17" s="9">
        <f>IF($B$5&lt;1,"",MAX(E17,$B$13))</f>
        <v/>
      </c>
    </row>
    <row r="18">
      <c r="A18" s="8">
        <f>IF($B$5&gt;=2,2,"")</f>
        <v/>
      </c>
      <c r="B18" s="8">
        <f>IF($B$5&lt;2,"",IF(2&lt;=3,"1~3개월",IF(2&lt;=6,"4~6개월","7개월이후")))</f>
        <v/>
      </c>
      <c r="C18" s="8">
        <f>IF($B$5&lt;2,"",$B$4*0.8)</f>
        <v/>
      </c>
      <c r="D18" s="8">
        <f>IF($B$5&lt;2,"",IF(2&lt;=3,$C$9,IF(2&lt;=6,$C$10,$C$11)))</f>
        <v/>
      </c>
      <c r="E18" s="8">
        <f>IF($B$5&lt;2,"",MIN(C18,D18))</f>
        <v/>
      </c>
      <c r="F18" s="8">
        <f>IF($B$5&lt;2,"",IF(E18&lt;$B$13,"적용","-"))</f>
        <v/>
      </c>
      <c r="G18" s="9">
        <f>IF($B$5&lt;2,"",MAX(E18,$B$13))</f>
        <v/>
      </c>
    </row>
    <row r="19">
      <c r="A19" s="8">
        <f>IF($B$5&gt;=3,3,"")</f>
        <v/>
      </c>
      <c r="B19" s="8">
        <f>IF($B$5&lt;3,"",IF(3&lt;=3,"1~3개월",IF(3&lt;=6,"4~6개월","7개월이후")))</f>
        <v/>
      </c>
      <c r="C19" s="8">
        <f>IF($B$5&lt;3,"",$B$4*0.8)</f>
        <v/>
      </c>
      <c r="D19" s="8">
        <f>IF($B$5&lt;3,"",IF(3&lt;=3,$C$9,IF(3&lt;=6,$C$10,$C$11)))</f>
        <v/>
      </c>
      <c r="E19" s="8">
        <f>IF($B$5&lt;3,"",MIN(C19,D19))</f>
        <v/>
      </c>
      <c r="F19" s="8">
        <f>IF($B$5&lt;3,"",IF(E19&lt;$B$13,"적용","-"))</f>
        <v/>
      </c>
      <c r="G19" s="9">
        <f>IF($B$5&lt;3,"",MAX(E19,$B$13))</f>
        <v/>
      </c>
    </row>
    <row r="20">
      <c r="A20" s="8">
        <f>IF($B$5&gt;=4,4,"")</f>
        <v/>
      </c>
      <c r="B20" s="8">
        <f>IF($B$5&lt;4,"",IF(4&lt;=3,"1~3개월",IF(4&lt;=6,"4~6개월","7개월이후")))</f>
        <v/>
      </c>
      <c r="C20" s="8">
        <f>IF($B$5&lt;4,"",$B$4*0.8)</f>
        <v/>
      </c>
      <c r="D20" s="8">
        <f>IF($B$5&lt;4,"",IF(4&lt;=3,$C$9,IF(4&lt;=6,$C$10,$C$11)))</f>
        <v/>
      </c>
      <c r="E20" s="8">
        <f>IF($B$5&lt;4,"",MIN(C20,D20))</f>
        <v/>
      </c>
      <c r="F20" s="8">
        <f>IF($B$5&lt;4,"",IF(E20&lt;$B$13,"적용","-"))</f>
        <v/>
      </c>
      <c r="G20" s="9">
        <f>IF($B$5&lt;4,"",MAX(E20,$B$13))</f>
        <v/>
      </c>
    </row>
    <row r="21">
      <c r="A21" s="8">
        <f>IF($B$5&gt;=5,5,"")</f>
        <v/>
      </c>
      <c r="B21" s="8">
        <f>IF($B$5&lt;5,"",IF(5&lt;=3,"1~3개월",IF(5&lt;=6,"4~6개월","7개월이후")))</f>
        <v/>
      </c>
      <c r="C21" s="8">
        <f>IF($B$5&lt;5,"",$B$4*0.8)</f>
        <v/>
      </c>
      <c r="D21" s="8">
        <f>IF($B$5&lt;5,"",IF(5&lt;=3,$C$9,IF(5&lt;=6,$C$10,$C$11)))</f>
        <v/>
      </c>
      <c r="E21" s="8">
        <f>IF($B$5&lt;5,"",MIN(C21,D21))</f>
        <v/>
      </c>
      <c r="F21" s="8">
        <f>IF($B$5&lt;5,"",IF(E21&lt;$B$13,"적용","-"))</f>
        <v/>
      </c>
      <c r="G21" s="9">
        <f>IF($B$5&lt;5,"",MAX(E21,$B$13))</f>
        <v/>
      </c>
    </row>
    <row r="22">
      <c r="A22" s="8">
        <f>IF($B$5&gt;=6,6,"")</f>
        <v/>
      </c>
      <c r="B22" s="8">
        <f>IF($B$5&lt;6,"",IF(6&lt;=3,"1~3개월",IF(6&lt;=6,"4~6개월","7개월이후")))</f>
        <v/>
      </c>
      <c r="C22" s="8">
        <f>IF($B$5&lt;6,"",$B$4*0.8)</f>
        <v/>
      </c>
      <c r="D22" s="8">
        <f>IF($B$5&lt;6,"",IF(6&lt;=3,$C$9,IF(6&lt;=6,$C$10,$C$11)))</f>
        <v/>
      </c>
      <c r="E22" s="8">
        <f>IF($B$5&lt;6,"",MIN(C22,D22))</f>
        <v/>
      </c>
      <c r="F22" s="8">
        <f>IF($B$5&lt;6,"",IF(E22&lt;$B$13,"적용","-"))</f>
        <v/>
      </c>
      <c r="G22" s="9">
        <f>IF($B$5&lt;6,"",MAX(E22,$B$13))</f>
        <v/>
      </c>
    </row>
    <row r="23">
      <c r="A23" s="8">
        <f>IF($B$5&gt;=7,7,"")</f>
        <v/>
      </c>
      <c r="B23" s="8">
        <f>IF($B$5&lt;7,"",IF(7&lt;=3,"1~3개월",IF(7&lt;=6,"4~6개월","7개월이후")))</f>
        <v/>
      </c>
      <c r="C23" s="8">
        <f>IF($B$5&lt;7,"",$B$4*0.8)</f>
        <v/>
      </c>
      <c r="D23" s="8">
        <f>IF($B$5&lt;7,"",IF(7&lt;=3,$C$9,IF(7&lt;=6,$C$10,$C$11)))</f>
        <v/>
      </c>
      <c r="E23" s="8">
        <f>IF($B$5&lt;7,"",MIN(C23,D23))</f>
        <v/>
      </c>
      <c r="F23" s="8">
        <f>IF($B$5&lt;7,"",IF(E23&lt;$B$13,"적용","-"))</f>
        <v/>
      </c>
      <c r="G23" s="9">
        <f>IF($B$5&lt;7,"",MAX(E23,$B$13))</f>
        <v/>
      </c>
    </row>
    <row r="24">
      <c r="A24" s="8">
        <f>IF($B$5&gt;=8,8,"")</f>
        <v/>
      </c>
      <c r="B24" s="8">
        <f>IF($B$5&lt;8,"",IF(8&lt;=3,"1~3개월",IF(8&lt;=6,"4~6개월","7개월이후")))</f>
        <v/>
      </c>
      <c r="C24" s="8">
        <f>IF($B$5&lt;8,"",$B$4*0.8)</f>
        <v/>
      </c>
      <c r="D24" s="8">
        <f>IF($B$5&lt;8,"",IF(8&lt;=3,$C$9,IF(8&lt;=6,$C$10,$C$11)))</f>
        <v/>
      </c>
      <c r="E24" s="8">
        <f>IF($B$5&lt;8,"",MIN(C24,D24))</f>
        <v/>
      </c>
      <c r="F24" s="8">
        <f>IF($B$5&lt;8,"",IF(E24&lt;$B$13,"적용","-"))</f>
        <v/>
      </c>
      <c r="G24" s="9">
        <f>IF($B$5&lt;8,"",MAX(E24,$B$13))</f>
        <v/>
      </c>
    </row>
    <row r="25">
      <c r="A25" s="8">
        <f>IF($B$5&gt;=9,9,"")</f>
        <v/>
      </c>
      <c r="B25" s="8">
        <f>IF($B$5&lt;9,"",IF(9&lt;=3,"1~3개월",IF(9&lt;=6,"4~6개월","7개월이후")))</f>
        <v/>
      </c>
      <c r="C25" s="8">
        <f>IF($B$5&lt;9,"",$B$4*0.8)</f>
        <v/>
      </c>
      <c r="D25" s="8">
        <f>IF($B$5&lt;9,"",IF(9&lt;=3,$C$9,IF(9&lt;=6,$C$10,$C$11)))</f>
        <v/>
      </c>
      <c r="E25" s="8">
        <f>IF($B$5&lt;9,"",MIN(C25,D25))</f>
        <v/>
      </c>
      <c r="F25" s="8">
        <f>IF($B$5&lt;9,"",IF(E25&lt;$B$13,"적용","-"))</f>
        <v/>
      </c>
      <c r="G25" s="9">
        <f>IF($B$5&lt;9,"",MAX(E25,$B$13))</f>
        <v/>
      </c>
    </row>
    <row r="26">
      <c r="A26" s="8">
        <f>IF($B$5&gt;=10,10,"")</f>
        <v/>
      </c>
      <c r="B26" s="8">
        <f>IF($B$5&lt;10,"",IF(10&lt;=3,"1~3개월",IF(10&lt;=6,"4~6개월","7개월이후")))</f>
        <v/>
      </c>
      <c r="C26" s="8">
        <f>IF($B$5&lt;10,"",$B$4*0.8)</f>
        <v/>
      </c>
      <c r="D26" s="8">
        <f>IF($B$5&lt;10,"",IF(10&lt;=3,$C$9,IF(10&lt;=6,$C$10,$C$11)))</f>
        <v/>
      </c>
      <c r="E26" s="8">
        <f>IF($B$5&lt;10,"",MIN(C26,D26))</f>
        <v/>
      </c>
      <c r="F26" s="8">
        <f>IF($B$5&lt;10,"",IF(E26&lt;$B$13,"적용","-"))</f>
        <v/>
      </c>
      <c r="G26" s="9">
        <f>IF($B$5&lt;10,"",MAX(E26,$B$13))</f>
        <v/>
      </c>
    </row>
    <row r="27">
      <c r="A27" s="8">
        <f>IF($B$5&gt;=11,11,"")</f>
        <v/>
      </c>
      <c r="B27" s="8">
        <f>IF($B$5&lt;11,"",IF(11&lt;=3,"1~3개월",IF(11&lt;=6,"4~6개월","7개월이후")))</f>
        <v/>
      </c>
      <c r="C27" s="8">
        <f>IF($B$5&lt;11,"",$B$4*0.8)</f>
        <v/>
      </c>
      <c r="D27" s="8">
        <f>IF($B$5&lt;11,"",IF(11&lt;=3,$C$9,IF(11&lt;=6,$C$10,$C$11)))</f>
        <v/>
      </c>
      <c r="E27" s="8">
        <f>IF($B$5&lt;11,"",MIN(C27,D27))</f>
        <v/>
      </c>
      <c r="F27" s="8">
        <f>IF($B$5&lt;11,"",IF(E27&lt;$B$13,"적용","-"))</f>
        <v/>
      </c>
      <c r="G27" s="9">
        <f>IF($B$5&lt;11,"",MAX(E27,$B$13))</f>
        <v/>
      </c>
    </row>
    <row r="28">
      <c r="A28" s="8">
        <f>IF($B$5&gt;=12,12,"")</f>
        <v/>
      </c>
      <c r="B28" s="8">
        <f>IF($B$5&lt;12,"",IF(12&lt;=3,"1~3개월",IF(12&lt;=6,"4~6개월","7개월이후")))</f>
        <v/>
      </c>
      <c r="C28" s="8">
        <f>IF($B$5&lt;12,"",$B$4*0.8)</f>
        <v/>
      </c>
      <c r="D28" s="8">
        <f>IF($B$5&lt;12,"",IF(12&lt;=3,$C$9,IF(12&lt;=6,$C$10,$C$11)))</f>
        <v/>
      </c>
      <c r="E28" s="8">
        <f>IF($B$5&lt;12,"",MIN(C28,D28))</f>
        <v/>
      </c>
      <c r="F28" s="8">
        <f>IF($B$5&lt;12,"",IF(E28&lt;$B$13,"적용","-"))</f>
        <v/>
      </c>
      <c r="G28" s="9">
        <f>IF($B$5&lt;12,"",MAX(E28,$B$13))</f>
        <v/>
      </c>
    </row>
    <row r="29">
      <c r="A29" s="8">
        <f>IF($B$5&gt;=13,13,"")</f>
        <v/>
      </c>
      <c r="B29" s="8">
        <f>IF($B$5&lt;13,"",IF(13&lt;=3,"1~3개월",IF(13&lt;=6,"4~6개월","7개월이후")))</f>
        <v/>
      </c>
      <c r="C29" s="8">
        <f>IF($B$5&lt;13,"",$B$4*0.8)</f>
        <v/>
      </c>
      <c r="D29" s="8">
        <f>IF($B$5&lt;13,"",IF(13&lt;=3,$C$9,IF(13&lt;=6,$C$10,$C$11)))</f>
        <v/>
      </c>
      <c r="E29" s="8">
        <f>IF($B$5&lt;13,"",MIN(C29,D29))</f>
        <v/>
      </c>
      <c r="F29" s="8">
        <f>IF($B$5&lt;13,"",IF(E29&lt;$B$13,"적용","-"))</f>
        <v/>
      </c>
      <c r="G29" s="9">
        <f>IF($B$5&lt;13,"",MAX(E29,$B$13))</f>
        <v/>
      </c>
    </row>
    <row r="30">
      <c r="A30" s="8">
        <f>IF($B$5&gt;=14,14,"")</f>
        <v/>
      </c>
      <c r="B30" s="8">
        <f>IF($B$5&lt;14,"",IF(14&lt;=3,"1~3개월",IF(14&lt;=6,"4~6개월","7개월이후")))</f>
        <v/>
      </c>
      <c r="C30" s="8">
        <f>IF($B$5&lt;14,"",$B$4*0.8)</f>
        <v/>
      </c>
      <c r="D30" s="8">
        <f>IF($B$5&lt;14,"",IF(14&lt;=3,$C$9,IF(14&lt;=6,$C$10,$C$11)))</f>
        <v/>
      </c>
      <c r="E30" s="8">
        <f>IF($B$5&lt;14,"",MIN(C30,D30))</f>
        <v/>
      </c>
      <c r="F30" s="8">
        <f>IF($B$5&lt;14,"",IF(E30&lt;$B$13,"적용","-"))</f>
        <v/>
      </c>
      <c r="G30" s="9">
        <f>IF($B$5&lt;14,"",MAX(E30,$B$13))</f>
        <v/>
      </c>
    </row>
    <row r="31">
      <c r="A31" s="8">
        <f>IF($B$5&gt;=15,15,"")</f>
        <v/>
      </c>
      <c r="B31" s="8">
        <f>IF($B$5&lt;15,"",IF(15&lt;=3,"1~3개월",IF(15&lt;=6,"4~6개월","7개월이후")))</f>
        <v/>
      </c>
      <c r="C31" s="8">
        <f>IF($B$5&lt;15,"",$B$4*0.8)</f>
        <v/>
      </c>
      <c r="D31" s="8">
        <f>IF($B$5&lt;15,"",IF(15&lt;=3,$C$9,IF(15&lt;=6,$C$10,$C$11)))</f>
        <v/>
      </c>
      <c r="E31" s="8">
        <f>IF($B$5&lt;15,"",MIN(C31,D31))</f>
        <v/>
      </c>
      <c r="F31" s="8">
        <f>IF($B$5&lt;15,"",IF(E31&lt;$B$13,"적용","-"))</f>
        <v/>
      </c>
      <c r="G31" s="9">
        <f>IF($B$5&lt;15,"",MAX(E31,$B$13))</f>
        <v/>
      </c>
    </row>
    <row r="32">
      <c r="A32" s="8">
        <f>IF($B$5&gt;=16,16,"")</f>
        <v/>
      </c>
      <c r="B32" s="8">
        <f>IF($B$5&lt;16,"",IF(16&lt;=3,"1~3개월",IF(16&lt;=6,"4~6개월","7개월이후")))</f>
        <v/>
      </c>
      <c r="C32" s="8">
        <f>IF($B$5&lt;16,"",$B$4*0.8)</f>
        <v/>
      </c>
      <c r="D32" s="8">
        <f>IF($B$5&lt;16,"",IF(16&lt;=3,$C$9,IF(16&lt;=6,$C$10,$C$11)))</f>
        <v/>
      </c>
      <c r="E32" s="8">
        <f>IF($B$5&lt;16,"",MIN(C32,D32))</f>
        <v/>
      </c>
      <c r="F32" s="8">
        <f>IF($B$5&lt;16,"",IF(E32&lt;$B$13,"적용","-"))</f>
        <v/>
      </c>
      <c r="G32" s="9">
        <f>IF($B$5&lt;16,"",MAX(E32,$B$13))</f>
        <v/>
      </c>
    </row>
    <row r="33">
      <c r="A33" s="8">
        <f>IF($B$5&gt;=17,17,"")</f>
        <v/>
      </c>
      <c r="B33" s="8">
        <f>IF($B$5&lt;17,"",IF(17&lt;=3,"1~3개월",IF(17&lt;=6,"4~6개월","7개월이후")))</f>
        <v/>
      </c>
      <c r="C33" s="8">
        <f>IF($B$5&lt;17,"",$B$4*0.8)</f>
        <v/>
      </c>
      <c r="D33" s="8">
        <f>IF($B$5&lt;17,"",IF(17&lt;=3,$C$9,IF(17&lt;=6,$C$10,$C$11)))</f>
        <v/>
      </c>
      <c r="E33" s="8">
        <f>IF($B$5&lt;17,"",MIN(C33,D33))</f>
        <v/>
      </c>
      <c r="F33" s="8">
        <f>IF($B$5&lt;17,"",IF(E33&lt;$B$13,"적용","-"))</f>
        <v/>
      </c>
      <c r="G33" s="9">
        <f>IF($B$5&lt;17,"",MAX(E33,$B$13))</f>
        <v/>
      </c>
    </row>
    <row r="34">
      <c r="A34" s="8">
        <f>IF($B$5&gt;=18,18,"")</f>
        <v/>
      </c>
      <c r="B34" s="8">
        <f>IF($B$5&lt;18,"",IF(18&lt;=3,"1~3개월",IF(18&lt;=6,"4~6개월","7개월이후")))</f>
        <v/>
      </c>
      <c r="C34" s="8">
        <f>IF($B$5&lt;18,"",$B$4*0.8)</f>
        <v/>
      </c>
      <c r="D34" s="8">
        <f>IF($B$5&lt;18,"",IF(18&lt;=3,$C$9,IF(18&lt;=6,$C$10,$C$11)))</f>
        <v/>
      </c>
      <c r="E34" s="8">
        <f>IF($B$5&lt;18,"",MIN(C34,D34))</f>
        <v/>
      </c>
      <c r="F34" s="8">
        <f>IF($B$5&lt;18,"",IF(E34&lt;$B$13,"적용","-"))</f>
        <v/>
      </c>
      <c r="G34" s="9">
        <f>IF($B$5&lt;18,"",MAX(E34,$B$13))</f>
        <v/>
      </c>
    </row>
    <row r="35">
      <c r="A35" s="5" t="inlineStr">
        <is>
          <t>★ 전체 기간 총 수령액 (원)</t>
        </is>
      </c>
      <c r="G35" s="10">
        <f>SUM(G17:G34)</f>
        <v/>
      </c>
    </row>
    <row r="37" ht="34" customHeight="1">
      <c r="A37" s="11" t="inlineStr">
        <is>
          <t>⚠ 6+6 부모육아휴직제 특례, 한부모·장애아 특례가 적용되는 경우의 재계산은 '특례적용_재계산기.xlsx'를 사용하세요. 이 계산기는 특례가 없는 일반 구조 기준입니다.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2026-10-17T21:14:01Z</dcterms:created>
  <dcterms:modified xmlns:dcterms="http://purl.org/dc/terms/" xmlns:xsi="http://www.w3.org/2001/XMLSchema-instance" xsi:type="dcterms:W3CDTF">2026-10-17T21:14:01Z</dcterms:modified>
</cp:coreProperties>
</file>