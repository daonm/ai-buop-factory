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8F6215"/>
      <sz val="15"/>
    </font>
    <font>
      <i val="1"/>
      <color rgb="00565F72"/>
      <sz val="10"/>
    </font>
    <font>
      <b val="1"/>
      <sz val="13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3E6CE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3" fontId="0" fillId="2" borderId="1" pivotButton="0" quotePrefix="0" xfId="0"/>
    <xf numFmtId="164" fontId="0" fillId="3" borderId="0" pivotButton="0" quotePrefix="0" xfId="0"/>
    <xf numFmtId="3" fontId="0" fillId="3" borderId="0" pivotButton="0" quotePrefix="0" xfId="0"/>
    <xf numFmtId="1" fontId="0" fillId="2" borderId="0" pivotButton="0" quotePrefix="0" xfId="0"/>
    <xf numFmtId="3" fontId="4" fillId="3" borderId="0" pivotButton="0" quotePrefix="0" xfId="0"/>
    <xf numFmtId="165" fontId="0" fillId="2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B. 퇴직금·연금 분할 계산기</t>
        </is>
      </c>
    </row>
    <row r="3" ht="34" customHeight="1">
      <c r="A3" s="2" t="inlineStr">
        <is>
          <t>1. [퇴직금·연금] 표에 전체 재직기간, 혼인기간, 추정 가액을 입력하면 혼인기간 비율과 분할대상 가액이 자동 계산됩니다.</t>
        </is>
      </c>
    </row>
    <row r="4" ht="34" customHeight="1">
      <c r="A4" s="2" t="inlineStr">
        <is>
          <t>2. [기여도 비율]을 입력하면 실제 분할예상액(분할대상 가액 × 기여도)이 자동 계산됩니다.</t>
        </is>
      </c>
    </row>
    <row r="5" ht="34" customHeight="1">
      <c r="A5" s="2" t="inlineStr">
        <is>
          <t>3. [분할연금 청구기한] 표에 수급권 발생(예정)일을 입력하면 청구 마감일과 남은 일수가 자동 계산됩니다.</t>
        </is>
      </c>
    </row>
    <row r="6" ht="34" customHeight="1">
      <c r="A6" s="2" t="inlineStr">
        <is>
          <t>4. 일반 회사 퇴직연금(DB·DC형)은 별도 분할연금 제도가 없어 통상 재산분할 절차에서 처리됩니다. 공무원·사학·군인연금만 분할연금 제도가 적용됩니다.</t>
        </is>
      </c>
    </row>
    <row r="8">
      <c r="A8" s="3" t="inlineStr">
        <is>
          <t>※ 본 계산기는 확정 재산분할액·위자료가 아니라 참고용 추정 계산 도구입니다. 실제 금액은 변호사 상담과 법원의 조정·심판으로 확정됩니다.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8" customWidth="1" min="4" max="4"/>
  </cols>
  <sheetData>
    <row r="1">
      <c r="A1" s="4" t="inlineStr">
        <is>
          <t>1. 퇴직금·연금 분할대상 가액 계산</t>
        </is>
      </c>
    </row>
    <row r="3">
      <c r="A3" s="5" t="inlineStr">
        <is>
          <t>전체 재직기간(년)</t>
        </is>
      </c>
      <c r="B3" s="6" t="n">
        <v>22</v>
      </c>
    </row>
    <row r="4">
      <c r="A4" s="5" t="inlineStr">
        <is>
          <t>혼인기간(년)</t>
        </is>
      </c>
      <c r="B4" s="6" t="n">
        <v>14</v>
      </c>
    </row>
    <row r="5">
      <c r="A5" s="5" t="inlineStr">
        <is>
          <t>퇴직금·연금 추정가액(원)</t>
        </is>
      </c>
      <c r="B5" s="7" t="n">
        <v>180000000</v>
      </c>
    </row>
    <row r="7">
      <c r="A7" t="inlineStr">
        <is>
          <t>혼인기간 비율</t>
        </is>
      </c>
      <c r="B7" s="8">
        <f>MIN(B4/B3,1)</f>
        <v/>
      </c>
    </row>
    <row r="8">
      <c r="A8" t="inlineStr">
        <is>
          <t>분할대상 가액(혼인기간 해당분)</t>
        </is>
      </c>
      <c r="B8" s="9">
        <f>B5*B7</f>
        <v/>
      </c>
    </row>
    <row r="10">
      <c r="A10" s="4" t="inlineStr">
        <is>
          <t>2. 기여도 비율 적용 → 실제 분할예상액</t>
        </is>
      </c>
    </row>
    <row r="11">
      <c r="A11" t="inlineStr">
        <is>
          <t>기여도 비율(%)</t>
        </is>
      </c>
      <c r="B11" s="10" t="n">
        <v>50</v>
      </c>
    </row>
    <row r="12">
      <c r="A12" t="inlineStr">
        <is>
          <t>실제 분할예상액</t>
        </is>
      </c>
      <c r="B12" s="11">
        <f>B8*B11/100</f>
        <v/>
      </c>
    </row>
    <row r="14">
      <c r="A14" s="4" t="inlineStr">
        <is>
          <t>3. 분할연금 청구기한 D-day (공무원·사학·군인연금만 해당)</t>
        </is>
      </c>
    </row>
    <row r="15">
      <c r="A15" t="inlineStr">
        <is>
          <t>연금 수급권 발생(예정)일</t>
        </is>
      </c>
      <c r="B15" s="12" t="n">
        <v>46447</v>
      </c>
    </row>
    <row r="16">
      <c r="A16" t="inlineStr">
        <is>
          <t>분할연금 청구 마감일(수급권 발생일+5년)</t>
        </is>
      </c>
      <c r="B16" s="13">
        <f>EDATE(B15,60)</f>
        <v/>
      </c>
    </row>
    <row r="17">
      <c r="A17" t="inlineStr">
        <is>
          <t>오늘(TODAY) 기준 남은 일수</t>
        </is>
      </c>
      <c r="B17" s="9">
        <f>B16-TODAY()</f>
        <v/>
      </c>
    </row>
    <row r="19">
      <c r="A19" s="3" t="inlineStr">
        <is>
          <t>주의 — 일반 회사 퇴직연금(DB·DC형)은 분할연금 제도가 아니라 통상적 재산분할 절차에서 처리됩니다. 공무원연금 등과 혼동하지 마세요.</t>
        </is>
      </c>
    </row>
  </sheetData>
  <mergeCells count="1"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2026-10-27T21:09:18Z</dcterms:created>
  <dcterms:modified xmlns:dcterms="http://purl.org/dc/terms/" xmlns:xsi="http://www.w3.org/2001/XMLSchema-instance" xsi:type="dcterms:W3CDTF">2026-10-27T21:09:18Z</dcterms:modified>
</cp:coreProperties>
</file>