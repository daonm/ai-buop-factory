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8F6215"/>
      <sz val="15"/>
    </font>
    <font>
      <i val="1"/>
      <color rgb="00565F72"/>
      <sz val="10"/>
    </font>
    <font>
      <b val="1"/>
      <sz val="13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8F6215"/>
      </patternFill>
    </fill>
    <fill>
      <patternFill patternType="solid">
        <fgColor rgb="00FFF2CC"/>
      </patternFill>
    </fill>
    <fill>
      <patternFill patternType="solid">
        <fgColor rgb="00E3E6CE"/>
      </patternFill>
    </fill>
  </fills>
  <borders count="2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0" fontId="5" fillId="0" borderId="0" pivotButton="0" quotePrefix="0" xfId="0"/>
    <xf numFmtId="3" fontId="5" fillId="4" borderId="0" pivotButton="0" quotePrefix="0" xfId="0"/>
    <xf numFmtId="3" fontId="6" fillId="4" borderId="0" pivotButton="0" quotePrefix="0" xfId="0"/>
    <xf numFmtId="1" fontId="0" fillId="3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A. 이혼재산분할 순재산·분할액 계산기</t>
        </is>
      </c>
    </row>
    <row r="3" ht="34" customHeight="1">
      <c r="A3" s="2" t="inlineStr">
        <is>
          <t>1. [재산목록] 표에 보유 재산을 입력하고 분류(공동재산/특유재산-포함/특유재산-제외)를 고르세요. 분할대상 총재산이 자동 계산됩니다.</t>
        </is>
      </c>
    </row>
    <row r="4" ht="34" customHeight="1">
      <c r="A4" s="2" t="inlineStr">
        <is>
          <t>2. [채무목록] 표에 채무를 입력하고 성격(공동채무/개인채무)을 고르세요. 공동채무만 반영한 순재산이 자동 계산됩니다.</t>
        </is>
      </c>
    </row>
    <row r="5" ht="34" customHeight="1">
      <c r="A5" s="2" t="inlineStr">
        <is>
          <t>3. [기여도 비율] 칸에 추정 비율의 최소·최대값(%)을 입력하면 재산분할 예상액 범위가 자동 계산됩니다.</t>
        </is>
      </c>
    </row>
    <row r="6" ht="34" customHeight="1">
      <c r="A6" s="2" t="inlineStr">
        <is>
          <t>4. 노란색 칸이 입력 칸, 올리브색 칸이 결과 칸입니다.</t>
        </is>
      </c>
    </row>
    <row r="8">
      <c r="A8" s="3" t="inlineStr">
        <is>
          <t>※ 본 계산기는 확정 재산분할액·위자료가 아니라 참고용 추정 계산 도구입니다. 실제 금액은 변호사 상담과 법원의 조정·심판으로 확정됩니다.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16" customWidth="1" min="4" max="4"/>
    <col width="4" customWidth="1" min="5" max="5"/>
    <col width="26" customWidth="1" min="6" max="6"/>
    <col width="16" customWidth="1" min="7" max="7"/>
  </cols>
  <sheetData>
    <row r="1">
      <c r="A1" s="4" t="inlineStr">
        <is>
          <t>1. 재산목록 (공동재산 vs 특유재산)</t>
        </is>
      </c>
    </row>
    <row r="2">
      <c r="A2" s="5" t="inlineStr">
        <is>
          <t>재산 항목</t>
        </is>
      </c>
      <c r="B2" s="5" t="inlineStr">
        <is>
          <t>명의</t>
        </is>
      </c>
      <c r="C2" s="5" t="inlineStr">
        <is>
          <t>분류</t>
        </is>
      </c>
      <c r="D2" s="5" t="inlineStr">
        <is>
          <t>추정가액(원)</t>
        </is>
      </c>
    </row>
    <row r="3">
      <c r="A3" s="6" t="inlineStr">
        <is>
          <t>아파트(공동명의)</t>
        </is>
      </c>
      <c r="B3" s="6" t="inlineStr">
        <is>
          <t>공동</t>
        </is>
      </c>
      <c r="C3" s="6" t="inlineStr">
        <is>
          <t>공동재산</t>
        </is>
      </c>
      <c r="D3" s="7" t="n">
        <v>450000000</v>
      </c>
    </row>
    <row r="4">
      <c r="A4" s="6" t="inlineStr">
        <is>
          <t>예금 A</t>
        </is>
      </c>
      <c r="B4" s="6" t="inlineStr">
        <is>
          <t>본인</t>
        </is>
      </c>
      <c r="C4" s="6" t="inlineStr">
        <is>
          <t>공동재산</t>
        </is>
      </c>
      <c r="D4" s="7" t="n">
        <v>32000000</v>
      </c>
    </row>
    <row r="5">
      <c r="A5" s="6" t="inlineStr">
        <is>
          <t>예금 B</t>
        </is>
      </c>
      <c r="B5" s="6" t="inlineStr">
        <is>
          <t>배우자</t>
        </is>
      </c>
      <c r="C5" s="6" t="inlineStr">
        <is>
          <t>공동재산</t>
        </is>
      </c>
      <c r="D5" s="7" t="n">
        <v>18000000</v>
      </c>
    </row>
    <row r="6">
      <c r="A6" s="6" t="inlineStr">
        <is>
          <t>배우자 혼인전 예금</t>
        </is>
      </c>
      <c r="B6" s="6" t="inlineStr">
        <is>
          <t>배우자</t>
        </is>
      </c>
      <c r="C6" s="6" t="inlineStr">
        <is>
          <t>특유재산-제외</t>
        </is>
      </c>
      <c r="D6" s="7" t="n">
        <v>20000000</v>
      </c>
    </row>
    <row r="7">
      <c r="A7" s="6" t="inlineStr">
        <is>
          <t>상속받은 토지(배우자)</t>
        </is>
      </c>
      <c r="B7" s="6" t="inlineStr">
        <is>
          <t>배우자</t>
        </is>
      </c>
      <c r="C7" s="6" t="inlineStr">
        <is>
          <t>특유재산-포함</t>
        </is>
      </c>
      <c r="D7" s="7" t="n">
        <v>60000000</v>
      </c>
    </row>
    <row r="8">
      <c r="A8" s="6" t="inlineStr"/>
      <c r="B8" s="6" t="inlineStr"/>
      <c r="C8" s="6" t="inlineStr"/>
      <c r="D8" s="7" t="n"/>
    </row>
    <row r="9">
      <c r="A9" s="6" t="inlineStr"/>
      <c r="B9" s="6" t="inlineStr"/>
      <c r="C9" s="6" t="inlineStr"/>
      <c r="D9" s="7" t="n"/>
    </row>
    <row r="10">
      <c r="A10" s="6" t="inlineStr"/>
      <c r="B10" s="6" t="inlineStr"/>
      <c r="C10" s="6" t="inlineStr"/>
      <c r="D10" s="7" t="n"/>
    </row>
    <row r="11">
      <c r="A11" s="6" t="inlineStr"/>
      <c r="B11" s="6" t="inlineStr"/>
      <c r="C11" s="6" t="inlineStr"/>
      <c r="D11" s="7" t="n"/>
    </row>
    <row r="12">
      <c r="A12" s="6" t="inlineStr"/>
      <c r="B12" s="6" t="inlineStr"/>
      <c r="C12" s="6" t="inlineStr"/>
      <c r="D12" s="7" t="n"/>
    </row>
    <row r="13">
      <c r="C13" s="8" t="inlineStr">
        <is>
          <t>분할대상 총재산 합계</t>
        </is>
      </c>
      <c r="D13" s="9">
        <f>SUMIF(C3:C12,"&lt;&gt;특유재산-제외",D3:D12)</f>
        <v/>
      </c>
    </row>
    <row r="15">
      <c r="A15" s="4" t="inlineStr">
        <is>
          <t>2. 채무목록 (공동채무만 순재산에서 차감)</t>
        </is>
      </c>
    </row>
    <row r="16">
      <c r="A16" s="5" t="inlineStr">
        <is>
          <t>채무 항목</t>
        </is>
      </c>
      <c r="B16" s="5" t="inlineStr">
        <is>
          <t>성격</t>
        </is>
      </c>
      <c r="C16" s="5" t="inlineStr"/>
      <c r="D16" s="5" t="inlineStr">
        <is>
          <t>채무금액(원)</t>
        </is>
      </c>
    </row>
    <row r="17">
      <c r="A17" s="6" t="inlineStr">
        <is>
          <t>아파트 담보대출</t>
        </is>
      </c>
      <c r="B17" s="6" t="inlineStr">
        <is>
          <t>공동채무</t>
        </is>
      </c>
      <c r="D17" s="7" t="n">
        <v>120000000</v>
      </c>
    </row>
    <row r="18">
      <c r="A18" s="6" t="inlineStr">
        <is>
          <t>생활비 신용대출</t>
        </is>
      </c>
      <c r="B18" s="6" t="inlineStr">
        <is>
          <t>공동채무</t>
        </is>
      </c>
      <c r="D18" s="7" t="n">
        <v>8000000</v>
      </c>
    </row>
    <row r="19">
      <c r="A19" s="6" t="inlineStr">
        <is>
          <t>배우자 개인 도박채무</t>
        </is>
      </c>
      <c r="B19" s="6" t="inlineStr">
        <is>
          <t>개인채무(제외)</t>
        </is>
      </c>
      <c r="D19" s="7" t="n">
        <v>15000000</v>
      </c>
    </row>
    <row r="20">
      <c r="A20" s="6" t="inlineStr"/>
      <c r="B20" s="6" t="inlineStr"/>
      <c r="D20" s="7" t="n"/>
    </row>
    <row r="21">
      <c r="A21" s="6" t="inlineStr"/>
      <c r="B21" s="6" t="inlineStr"/>
      <c r="D21" s="7" t="n"/>
    </row>
    <row r="22">
      <c r="A22" s="6" t="inlineStr"/>
      <c r="B22" s="6" t="inlineStr"/>
      <c r="D22" s="7" t="n"/>
    </row>
    <row r="23">
      <c r="B23" s="8" t="inlineStr">
        <is>
          <t>공동채무 합계</t>
        </is>
      </c>
      <c r="D23" s="9">
        <f>SUMIF(B17:B22,"공동채무",D17:D22)</f>
        <v/>
      </c>
    </row>
    <row r="25">
      <c r="A25" s="4" t="inlineStr">
        <is>
          <t>3. 순재산 (분할대상 총재산 — 공동채무)</t>
        </is>
      </c>
    </row>
    <row r="26">
      <c r="A26" t="inlineStr">
        <is>
          <t>순재산</t>
        </is>
      </c>
      <c r="D26" s="10">
        <f>D13-D23</f>
        <v/>
      </c>
    </row>
    <row r="28">
      <c r="A28" s="4" t="inlineStr">
        <is>
          <t>4. 기여도 비율 추정 → 재산분할 예상액</t>
        </is>
      </c>
    </row>
    <row r="29">
      <c r="A29" t="inlineStr">
        <is>
          <t>추정 기여도 비율 — 최소(%)</t>
        </is>
      </c>
      <c r="B29" s="11" t="n">
        <v>40</v>
      </c>
      <c r="C29" t="inlineStr">
        <is>
          <t>재산분할 예상액(최소)</t>
        </is>
      </c>
      <c r="D29" s="12">
        <f>D26*B29/100</f>
        <v/>
      </c>
    </row>
    <row r="30">
      <c r="A30" t="inlineStr">
        <is>
          <t>추정 기여도 비율 — 최대(%)</t>
        </is>
      </c>
      <c r="B30" s="11" t="n">
        <v>50</v>
      </c>
      <c r="C30" t="inlineStr">
        <is>
          <t>재산분할 예상액(최대)</t>
        </is>
      </c>
      <c r="D30" s="12">
        <f>D26*B30/100</f>
        <v/>
      </c>
    </row>
    <row r="32">
      <c r="A32" s="3" t="inlineStr">
        <is>
          <t>주의 — 기여도 비율은 법정 공식이 없는 법원의 판단 영역입니다. 이 계산기는 '범위'로만 참고하고, 확정 비율처럼 안내하지 마세요.</t>
        </is>
      </c>
    </row>
  </sheetData>
  <mergeCells count="1">
    <mergeCell ref="A32:G32"/>
  </mergeCells>
  <dataValidations count="2">
    <dataValidation sqref="C3:C12" showDropDown="0" showInputMessage="0" showErrorMessage="0" allowBlank="1" type="list">
      <formula1>"공동재산,특유재산-포함,특유재산-제외"</formula1>
    </dataValidation>
    <dataValidation sqref="B17:B22" showDropDown="0" showInputMessage="0" showErrorMessage="0" allowBlank="1" type="list">
      <formula1>"공동채무,개인채무(제외)"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2026-10-27T21:09:18Z</dcterms:created>
  <dcterms:modified xmlns:dcterms="http://purl.org/dc/terms/" xmlns:xsi="http://www.w3.org/2001/XMLSchema-instance" xsi:type="dcterms:W3CDTF">2026-10-27T21:09:18Z</dcterms:modified>
</cp:coreProperties>
</file>