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8F6215"/>
      <sz val="15"/>
    </font>
    <font>
      <i val="1"/>
      <color rgb="00565F72"/>
      <sz val="10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F6215"/>
      </patternFill>
    </fill>
    <fill>
      <patternFill patternType="solid">
        <fgColor rgb="00FFF2CC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5" fillId="4" borderId="0" pivotButton="0" quotePrefix="0" xfId="0"/>
    <xf numFmtId="0" fontId="0" fillId="3" borderId="0" pivotButton="0" quotePrefix="0" xfId="0"/>
    <xf numFmtId="164" fontId="0" fillId="4" borderId="0" pivotButton="0" quotePrefix="0" xfId="0"/>
    <xf numFmtId="3" fontId="0" fillId="3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C. 위자료 예상범위 추정 계산기</t>
        </is>
      </c>
    </row>
    <row r="3" ht="34" customHeight="1">
      <c r="A3" s="2" t="inlineStr">
        <is>
          <t>1. [유책사유 점수표]에서 해당하는 사유에 'Y'를 입력하면 총점(0~100)이 자동 계산됩니다.</t>
        </is>
      </c>
    </row>
    <row r="4" ht="34" customHeight="1">
      <c r="A4" s="2" t="inlineStr">
        <is>
          <t>2. [조정 요소]에 혼인기간과 쌍방과실 여부를 입력하면 조정계수가 자동 반영됩니다.</t>
        </is>
      </c>
    </row>
    <row r="5" ht="34" customHeight="1">
      <c r="A5" s="2" t="inlineStr">
        <is>
          <t>3. 기본범위(2천만~5천만 원)는 공식 통계가 아니라 판례·실무 경향을 소개하는 참고 수치입니다. 반드시 '범위'로만 안내하세요.</t>
        </is>
      </c>
    </row>
    <row r="6" ht="34" customHeight="1">
      <c r="A6" s="2" t="inlineStr">
        <is>
          <t>4. 이 결과는 법률 자문이 아닌 계산 구조 예시입니다. 실제 위자료는 법원의 판단으로 확정됩니다.</t>
        </is>
      </c>
    </row>
    <row r="8">
      <c r="A8" s="3" t="inlineStr">
        <is>
          <t>※ 본 계산기는 확정 재산분할액·위자료가 아니라 참고용 추정 계산 도구입니다. 실제 금액은 변호사 상담과 법원의 조정·심판으로 확정됩니다.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4" customWidth="1" min="4" max="4"/>
  </cols>
  <sheetData>
    <row r="1">
      <c r="A1" s="4" t="inlineStr">
        <is>
          <t>1. 유책사유 점수표</t>
        </is>
      </c>
    </row>
    <row r="2">
      <c r="A2" s="5" t="inlineStr">
        <is>
          <t>유책사유 항목</t>
        </is>
      </c>
      <c r="B2" s="5" t="inlineStr">
        <is>
          <t>해당여부(Y/N)</t>
        </is>
      </c>
      <c r="C2" s="5" t="inlineStr">
        <is>
          <t>가중치</t>
        </is>
      </c>
    </row>
    <row r="3">
      <c r="A3" s="6" t="inlineStr">
        <is>
          <t>외도(부정행위)</t>
        </is>
      </c>
      <c r="B3" s="7" t="inlineStr">
        <is>
          <t>Y</t>
        </is>
      </c>
      <c r="C3" s="8" t="n">
        <v>20</v>
      </c>
    </row>
    <row r="4">
      <c r="A4" s="6" t="inlineStr">
        <is>
          <t>폭력(가정폭력)</t>
        </is>
      </c>
      <c r="B4" s="7" t="inlineStr">
        <is>
          <t>N</t>
        </is>
      </c>
      <c r="C4" s="8" t="n">
        <v>20</v>
      </c>
    </row>
    <row r="5">
      <c r="A5" s="6" t="inlineStr">
        <is>
          <t>악의적 유기</t>
        </is>
      </c>
      <c r="B5" s="7" t="inlineStr">
        <is>
          <t>N</t>
        </is>
      </c>
      <c r="C5" s="8" t="n">
        <v>15</v>
      </c>
    </row>
    <row r="6">
      <c r="A6" s="6" t="inlineStr">
        <is>
          <t>부당한 대우(배우자 또는 그 가족)</t>
        </is>
      </c>
      <c r="B6" s="7" t="inlineStr">
        <is>
          <t>N</t>
        </is>
      </c>
      <c r="C6" s="8" t="n">
        <v>15</v>
      </c>
    </row>
    <row r="7">
      <c r="A7" s="6" t="inlineStr">
        <is>
          <t>과도한 채무·도박·알코올 중독</t>
        </is>
      </c>
      <c r="B7" s="7" t="inlineStr">
        <is>
          <t>N</t>
        </is>
      </c>
      <c r="C7" s="8" t="n">
        <v>15</v>
      </c>
    </row>
    <row r="8">
      <c r="A8" s="6" t="inlineStr">
        <is>
          <t>기타 중대한 혼인파탄 사유</t>
        </is>
      </c>
      <c r="B8" s="7" t="inlineStr">
        <is>
          <t>N</t>
        </is>
      </c>
      <c r="C8" s="8" t="n">
        <v>15</v>
      </c>
    </row>
    <row r="9">
      <c r="A9" s="9" t="inlineStr">
        <is>
          <t>총점(해당 항목 가중치 합, 최대 100)</t>
        </is>
      </c>
      <c r="C9" s="10">
        <f>SUMIF(B3:B8,"Y",C3:C8)</f>
        <v/>
      </c>
    </row>
    <row r="11">
      <c r="A11" s="4" t="inlineStr">
        <is>
          <t>2. 조정 요소 적용 → 위자료 예상범위</t>
        </is>
      </c>
    </row>
    <row r="12">
      <c r="A12" t="inlineStr">
        <is>
          <t>혼인기간(년)</t>
        </is>
      </c>
      <c r="B12" s="11" t="n">
        <v>12</v>
      </c>
      <c r="C12" t="inlineStr">
        <is>
          <t>혼인기간 조정계수</t>
        </is>
      </c>
      <c r="D12" s="12">
        <f>IF(B12&gt;=10,1.2,IF(B12&gt;=5,1,0.8))</f>
        <v/>
      </c>
    </row>
    <row r="13">
      <c r="A13" t="inlineStr">
        <is>
          <t>쌍방과실 있음(Y/N)</t>
        </is>
      </c>
      <c r="B13" s="11" t="inlineStr">
        <is>
          <t>N</t>
        </is>
      </c>
      <c r="C13" t="inlineStr">
        <is>
          <t>쌍방과실 조정계수</t>
        </is>
      </c>
      <c r="D13" s="12">
        <f>IF(B13="Y",0.7,1)</f>
        <v/>
      </c>
    </row>
    <row r="15">
      <c r="A15" t="inlineStr">
        <is>
          <t>기본범위(참고치) — 최소(원)</t>
        </is>
      </c>
      <c r="B15" s="13" t="n">
        <v>20000000</v>
      </c>
    </row>
    <row r="16">
      <c r="A16" t="inlineStr">
        <is>
          <t>기본범위(참고치) — 최대(원)</t>
        </is>
      </c>
      <c r="B16" s="13" t="n">
        <v>50000000</v>
      </c>
    </row>
    <row r="18">
      <c r="A18" s="9" t="inlineStr">
        <is>
          <t>위자료 예상범위 — 최소</t>
        </is>
      </c>
      <c r="B18" s="14">
        <f>B15*(C9/100)*D12*D13</f>
        <v/>
      </c>
    </row>
    <row r="19">
      <c r="A19" s="9" t="inlineStr">
        <is>
          <t>위자료 예상범위 — 최대</t>
        </is>
      </c>
      <c r="B19" s="14">
        <f>B16*(C9/100)*D12*D13</f>
        <v/>
      </c>
    </row>
    <row r="21">
      <c r="A21" s="3" t="inlineStr">
        <is>
          <t>주의 — 이 범위는 공식 산정표가 아닌 '참고용 추정 범위'입니다. 의뢰인에게 안내할 때 반드시 '~범위로 추정된다'는 표현을 쓰고, 확정 금액처럼 전달하지 마세요.</t>
        </is>
      </c>
    </row>
  </sheetData>
  <mergeCells count="1">
    <mergeCell ref="A21:D21"/>
  </mergeCells>
  <dataValidations count="2">
    <dataValidation sqref="B3:B8" showDropDown="0" showInputMessage="0" showErrorMessage="0" allowBlank="1" type="list">
      <formula1>"Y,N"</formula1>
    </dataValidation>
    <dataValidation sqref="B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2026-10-27T21:09:18Z</dcterms:created>
  <dcterms:modified xmlns:dcterms="http://purl.org/dc/terms/" xmlns:xsi="http://www.w3.org/2001/XMLSchema-instance" xsi:type="dcterms:W3CDTF">2026-10-27T21:09:18Z</dcterms:modified>
</cp:coreProperties>
</file>