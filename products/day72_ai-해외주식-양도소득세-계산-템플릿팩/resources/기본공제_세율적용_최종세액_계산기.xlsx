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8F6215"/>
      <sz val="15"/>
    </font>
    <font>
      <color rgb="00262C3D"/>
      <sz val="11"/>
    </font>
    <font>
      <i val="1"/>
      <color rgb="00565F72"/>
      <sz val="10"/>
    </font>
    <font>
      <b val="1"/>
      <color rgb="00262C3D"/>
      <sz val="12"/>
    </font>
    <font>
      <b val="1"/>
      <color rgb="00262C3D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3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C. 기본공제·세율적용 최종세액 계산기</t>
        </is>
      </c>
    </row>
    <row r="2" ht="20" customHeight="1"/>
    <row r="3" ht="20" customHeight="1">
      <c r="A3" s="2" t="inlineStr">
        <is>
          <t>1. [본인 계산] 표의 손익통산 합계(전체,원) 칸에 계산기 B에서 나온 손익통산 합계를 입력하세요.</t>
        </is>
      </c>
    </row>
    <row r="4" ht="20" customHeight="1">
      <c r="A4" s="2" t="inlineStr">
        <is>
          <t>2. 기본공제(250만 원)는 이미 입력되어 있고, 과세표준·양도소득세(20%)·지방소득세(2%)·최종 납부세액이 자동 계산됩니다.</t>
        </is>
      </c>
    </row>
    <row r="5" ht="20" customHeight="1">
      <c r="A5" s="2" t="inlineStr">
        <is>
          <t>3. 배우자 등 가족 구성원이 각자 거래했다면 [가족 구성원 계산] 표에 각자의 손익통산 합계를 따로 입력하세요. 기본공제는 1인당 연 1회이므로 각자 별도로 적용됩니다.</t>
        </is>
      </c>
    </row>
    <row r="6" ht="20" customHeight="1">
      <c r="A6" s="2" t="inlineStr">
        <is>
          <t>4. [가족 합산 참고] 표는 본인·가족 구성원의 최종 납부세액을 단순 합산한 참고용 숫자입니다 — 신고는 각자 별도로 합니다.</t>
        </is>
      </c>
    </row>
    <row r="7" ht="20" customHeight="1">
      <c r="A7" s="2" t="inlineStr">
        <is>
          <t>5. 노란색 칸이 입력 칸, 올리브색 칸이 결과 칸입니다.</t>
        </is>
      </c>
    </row>
    <row r="8" ht="20" customHeight="1"/>
    <row r="9" ht="20" customHeight="1">
      <c r="A9" s="3" t="inlineStr">
        <is>
          <t>※ 기본공제 250만 원, 세율 22%(양도소득세 20%+지방소득세 2%)는 이 계산기를 만든 시점 기준의 예시값입니다. 금융투자소득세 도입 논의 등으로 세법이 개정될 수 있으므로, 실제 신고 전 국세청 홈택스·국세법령정보시스템(txsi.hometax.go.kr)에서 해당 연도 최신 기준을 반드시 재확인하세요. 해외주식 양도소득세는 종합소득세와 별도인 분리과세 항목입니다.</t>
        </is>
      </c>
    </row>
    <row r="10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</cols>
  <sheetData>
    <row r="1">
      <c r="A1" s="4" t="inlineStr">
        <is>
          <t>1. 본인 계산</t>
        </is>
      </c>
    </row>
    <row r="2">
      <c r="A2" s="2" t="inlineStr">
        <is>
          <t>대상자</t>
        </is>
      </c>
      <c r="B2" s="5" t="inlineStr">
        <is>
          <t>본인</t>
        </is>
      </c>
    </row>
    <row r="3">
      <c r="A3" s="2" t="inlineStr">
        <is>
          <t>손익통산 합계 (전체,원)</t>
        </is>
      </c>
      <c r="B3" s="6" t="n">
        <v>4327306</v>
      </c>
    </row>
    <row r="4">
      <c r="A4" s="2" t="inlineStr">
        <is>
          <t>기본공제 (연 1회, 원)</t>
        </is>
      </c>
      <c r="B4" s="6" t="n">
        <v>2500000</v>
      </c>
    </row>
    <row r="5">
      <c r="A5" s="2" t="inlineStr">
        <is>
          <t>과세표준 (원)</t>
        </is>
      </c>
      <c r="B5" s="7">
        <f>MAX(0,B3-B4)</f>
        <v/>
      </c>
    </row>
    <row r="6">
      <c r="A6" s="2" t="inlineStr">
        <is>
          <t>양도소득세 (20%,원)</t>
        </is>
      </c>
      <c r="B6" s="7">
        <f>ROUND(B5*0.2,0)</f>
        <v/>
      </c>
    </row>
    <row r="7">
      <c r="A7" s="2" t="inlineStr">
        <is>
          <t>지방소득세 (2%,원)</t>
        </is>
      </c>
      <c r="B7" s="7">
        <f>ROUND(B5*0.02,0)</f>
        <v/>
      </c>
    </row>
    <row r="8">
      <c r="A8" s="2" t="inlineStr">
        <is>
          <t>최종 납부세액 (원)</t>
        </is>
      </c>
      <c r="B8" s="7">
        <f>B6+B7</f>
        <v/>
      </c>
    </row>
    <row r="10">
      <c r="A10" s="4" t="inlineStr">
        <is>
          <t>2. 가족 구성원 계산 (배우자 등, 기본공제는 각자 별도 적용)</t>
        </is>
      </c>
    </row>
    <row r="11">
      <c r="A11" s="2" t="inlineStr">
        <is>
          <t>대상자</t>
        </is>
      </c>
      <c r="B11" s="5" t="inlineStr">
        <is>
          <t>배우자</t>
        </is>
      </c>
    </row>
    <row r="12">
      <c r="A12" s="2" t="inlineStr">
        <is>
          <t>손익통산 합계 (전체,원)</t>
        </is>
      </c>
      <c r="B12" s="6" t="n">
        <v>4327306</v>
      </c>
    </row>
    <row r="13">
      <c r="A13" s="2" t="inlineStr">
        <is>
          <t>기본공제 (연 1회, 원)</t>
        </is>
      </c>
      <c r="B13" s="6" t="n">
        <v>2500000</v>
      </c>
    </row>
    <row r="14">
      <c r="A14" s="2" t="inlineStr">
        <is>
          <t>과세표준 (원)</t>
        </is>
      </c>
      <c r="B14" s="7">
        <f>MAX(0,B12-B13)</f>
        <v/>
      </c>
    </row>
    <row r="15">
      <c r="A15" s="2" t="inlineStr">
        <is>
          <t>양도소득세 (20%,원)</t>
        </is>
      </c>
      <c r="B15" s="7">
        <f>ROUND(B14*0.2,0)</f>
        <v/>
      </c>
    </row>
    <row r="16">
      <c r="A16" s="2" t="inlineStr">
        <is>
          <t>지방소득세 (2%,원)</t>
        </is>
      </c>
      <c r="B16" s="7">
        <f>ROUND(B14*0.02,0)</f>
        <v/>
      </c>
    </row>
    <row r="17">
      <c r="A17" s="2" t="inlineStr">
        <is>
          <t>최종 납부세액 (원)</t>
        </is>
      </c>
      <c r="B17" s="7">
        <f>B15+B16</f>
        <v/>
      </c>
    </row>
    <row r="19">
      <c r="A19" s="4" t="inlineStr">
        <is>
          <t>3. 가족 합산 참고 (각자 별도 신고, 참고용 합계)</t>
        </is>
      </c>
    </row>
    <row r="20">
      <c r="A20" s="2" t="inlineStr">
        <is>
          <t>본인+가족 구성원 최종 납부세액 합계 (참고용,원)</t>
        </is>
      </c>
      <c r="B20" s="7">
        <f>B8+B17</f>
        <v/>
      </c>
    </row>
    <row r="22">
      <c r="A22" s="3" t="inlineStr">
        <is>
          <t>※ "가족 명의로 나눠 거래하면 기본공제를 여러 번 받을 수 있다"는 식으로 안내하지 마세요. 실제 투자자(실질 소유자)가 기준이므로, 명의만 나누는 것은 세무 리스크가 될 수 있습니다.</t>
        </is>
      </c>
    </row>
  </sheetData>
  <mergeCells count="1"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2026-10-29T21:13:05Z</dcterms:created>
  <dcterms:modified xmlns:dcterms="http://purl.org/dc/terms/" xmlns:xsi="http://www.w3.org/2001/XMLSchema-instance" xsi:type="dcterms:W3CDTF">2026-10-29T21:13:05Z</dcterms:modified>
</cp:coreProperties>
</file>