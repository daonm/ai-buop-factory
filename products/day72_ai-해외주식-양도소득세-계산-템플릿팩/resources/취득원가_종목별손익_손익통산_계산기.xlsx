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b val="1"/>
      <color rgb="008F6215"/>
      <sz val="15"/>
    </font>
    <font>
      <color rgb="00262C3D"/>
      <sz val="11"/>
    </font>
    <font>
      <i val="1"/>
      <color rgb="00565F72"/>
      <sz val="10"/>
    </font>
    <font>
      <b val="1"/>
      <color rgb="00262C3D"/>
      <sz val="12"/>
    </font>
    <font>
      <b val="1"/>
      <color rgb="00FFFFFF"/>
      <sz val="11"/>
    </font>
    <font>
      <b val="1"/>
      <color rgb="00262C3D"/>
      <sz val="11"/>
    </font>
  </fonts>
  <fills count="5">
    <fill>
      <patternFill/>
    </fill>
    <fill>
      <patternFill patternType="gray125"/>
    </fill>
    <fill>
      <patternFill patternType="solid">
        <fgColor rgb="008F6215"/>
      </patternFill>
    </fill>
    <fill>
      <patternFill patternType="solid">
        <fgColor rgb="00FFF2CC"/>
      </patternFill>
    </fill>
    <fill>
      <patternFill patternType="solid">
        <fgColor rgb="00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0" fillId="3" borderId="0" pivotButton="0" quotePrefix="0" xfId="0"/>
    <xf numFmtId="3" fontId="2" fillId="4" borderId="0" pivotButton="0" quotePrefix="0" xfId="0"/>
    <xf numFmtId="164" fontId="2" fillId="4" borderId="0" pivotButton="0" quotePrefix="0" xfId="0"/>
    <xf numFmtId="0" fontId="6" fillId="0" borderId="0" pivotButton="0" quotePrefix="0" xfId="0"/>
    <xf numFmtId="3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0" customHeight="1">
      <c r="A1" s="1" t="inlineStr">
        <is>
          <t>B. 취득원가·종목별손익·손익통산 계산기</t>
        </is>
      </c>
    </row>
    <row r="2" ht="20" customHeight="1"/>
    <row r="3" ht="20" customHeight="1">
      <c r="A3" s="2" t="inlineStr">
        <is>
          <t>1. [매수 Lot] 표에 종목별로 나눠 산 매수 내역(Lot)을 한 줄씩 입력하세요. Lot단가(원/주)가 자동 계산됩니다.</t>
        </is>
      </c>
    </row>
    <row r="4" ht="20" customHeight="1">
      <c r="A4" s="2" t="inlineStr">
        <is>
          <t>2. [매도내역] 표에 실제로 판 수량·가격을 입력하면 매도금액(수수료차감,원)이 자동 계산됩니다.</t>
        </is>
      </c>
    </row>
    <row r="5" ht="20" customHeight="1">
      <c r="A5" s="2" t="inlineStr">
        <is>
          <t>3. [이동평균법] 표는 전체 매수 Lot의 평균단가로 취득원가를 계산합니다(증권사 신고대행 서비스에서 일반적으로 쓰는 방식).</t>
        </is>
      </c>
    </row>
    <row r="6" ht="20" customHeight="1">
      <c r="A6" s="2" t="inlineStr">
        <is>
          <t>4. [선입선출법 비교] 표는 먼저 산 Lot부터 차례로 매도수량만큼 배분수량을 직접 입력해 취득원가를 계산합니다. 배분합계가 매도수량과 같은지 꼭 확인하세요.</t>
        </is>
      </c>
    </row>
    <row r="7" ht="20" customHeight="1">
      <c r="A7" s="2" t="inlineStr">
        <is>
          <t>5. [종목별 손익 요약] 표에서 적용방식을 드롭다운으로 고르면 해당 방식의 손익이 선택되고, 맨 아래 손익통산 합계가 자동 계산됩니다.</t>
        </is>
      </c>
    </row>
    <row r="8" ht="20" customHeight="1">
      <c r="A8" s="2" t="inlineStr">
        <is>
          <t>6. 노란색 칸이 입력 칸, 올리브색 칸이 결과 칸입니다.</t>
        </is>
      </c>
    </row>
    <row r="9" ht="20" customHeight="1"/>
    <row r="10" ht="20" customHeight="1">
      <c r="A10" s="3" t="inlineStr">
        <is>
          <t>※ 실제 신고에서는 증권사 거래내역서에 표시된 방식을 그대로 따르는 것이 안전합니다. 평균 취득원가를 틀리게 잡으면 전체 손익 계산이 처음부터 어긋나니, 분할매수가 많은 종목일수록 이 표를 꼼꼼히 확인하세요. 손실 종목도 반드시 손익통산에 포함하세요.</t>
        </is>
      </c>
    </row>
    <row r="11" ht="2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6" customWidth="1" min="6" max="6"/>
    <col width="18" customWidth="1" min="7" max="7"/>
    <col width="15" customWidth="1" min="8" max="8"/>
    <col width="16" customWidth="1" min="9" max="9"/>
    <col width="18" customWidth="1" min="10" max="10"/>
  </cols>
  <sheetData>
    <row r="1">
      <c r="A1" s="4" t="inlineStr">
        <is>
          <t>1. 매수 Lot별 내역</t>
        </is>
      </c>
    </row>
    <row r="2">
      <c r="A2" s="5" t="inlineStr">
        <is>
          <t>종목명</t>
        </is>
      </c>
      <c r="B2" s="5" t="inlineStr">
        <is>
          <t>Lot</t>
        </is>
      </c>
      <c r="C2" s="5" t="inlineStr">
        <is>
          <t>매수일</t>
        </is>
      </c>
      <c r="D2" s="5" t="inlineStr">
        <is>
          <t>매수가(외화,$)</t>
        </is>
      </c>
      <c r="E2" s="5" t="inlineStr">
        <is>
          <t>매수환율(원/$)</t>
        </is>
      </c>
      <c r="F2" s="5" t="inlineStr">
        <is>
          <t>매수수량(주)</t>
        </is>
      </c>
      <c r="G2" s="5" t="inlineStr">
        <is>
          <t>매수수수료(외화,$)</t>
        </is>
      </c>
      <c r="H2" s="5" t="inlineStr">
        <is>
          <t>Lot매수금액(수수료포함,원)</t>
        </is>
      </c>
      <c r="I2" s="5" t="inlineStr">
        <is>
          <t>Lot단가(원/주)</t>
        </is>
      </c>
    </row>
    <row r="3">
      <c r="A3" s="6" t="inlineStr">
        <is>
          <t>애플</t>
        </is>
      </c>
      <c r="B3" s="6" t="n">
        <v>1</v>
      </c>
      <c r="C3" s="6" t="inlineStr">
        <is>
          <t>2024-01-05</t>
        </is>
      </c>
      <c r="D3" s="6" t="n">
        <v>130</v>
      </c>
      <c r="E3" s="6" t="n">
        <v>1310</v>
      </c>
      <c r="F3" s="6" t="n">
        <v>25</v>
      </c>
      <c r="G3" s="6" t="n">
        <v>8</v>
      </c>
      <c r="H3" s="7">
        <f>D3*E3*F3+G3*E3</f>
        <v/>
      </c>
      <c r="I3" s="7">
        <f>IFERROR(H3/F3,0)</f>
        <v/>
      </c>
    </row>
    <row r="4">
      <c r="A4" s="6" t="inlineStr">
        <is>
          <t>애플</t>
        </is>
      </c>
      <c r="B4" s="6" t="n">
        <v>2</v>
      </c>
      <c r="C4" s="6" t="inlineStr">
        <is>
          <t>2024-02-20</t>
        </is>
      </c>
      <c r="D4" s="6" t="n">
        <v>150</v>
      </c>
      <c r="E4" s="6" t="n">
        <v>1330</v>
      </c>
      <c r="F4" s="6" t="n">
        <v>25</v>
      </c>
      <c r="G4" s="6" t="n">
        <v>7</v>
      </c>
      <c r="H4" s="7">
        <f>D4*E4*F4+G4*E4</f>
        <v/>
      </c>
      <c r="I4" s="7">
        <f>IFERROR(H4/F4,0)</f>
        <v/>
      </c>
    </row>
    <row r="5">
      <c r="A5" s="6" t="inlineStr">
        <is>
          <t>테슬라</t>
        </is>
      </c>
      <c r="B5" s="6" t="n">
        <v>1</v>
      </c>
      <c r="C5" s="6" t="inlineStr">
        <is>
          <t>2024-03-05</t>
        </is>
      </c>
      <c r="D5" s="6" t="n">
        <v>250</v>
      </c>
      <c r="E5" s="6" t="n">
        <v>1320</v>
      </c>
      <c r="F5" s="6" t="n">
        <v>15</v>
      </c>
      <c r="G5" s="6" t="n">
        <v>10</v>
      </c>
      <c r="H5" s="7">
        <f>D5*E5*F5+G5*E5</f>
        <v/>
      </c>
      <c r="I5" s="7">
        <f>IFERROR(H5/F5,0)</f>
        <v/>
      </c>
    </row>
    <row r="6">
      <c r="A6" s="6" t="n"/>
      <c r="B6" s="6" t="n"/>
      <c r="C6" s="6" t="n"/>
      <c r="D6" s="6" t="n"/>
      <c r="E6" s="6" t="n"/>
      <c r="F6" s="6" t="n"/>
      <c r="G6" s="6" t="n"/>
      <c r="H6" s="7">
        <f>D6*E6*F6+G6*E6</f>
        <v/>
      </c>
      <c r="I6" s="7">
        <f>IFERROR(H6/F6,0)</f>
        <v/>
      </c>
    </row>
    <row r="7">
      <c r="A7" s="6" t="n"/>
      <c r="B7" s="6" t="n"/>
      <c r="C7" s="6" t="n"/>
      <c r="D7" s="6" t="n"/>
      <c r="E7" s="6" t="n"/>
      <c r="F7" s="6" t="n"/>
      <c r="G7" s="6" t="n"/>
      <c r="H7" s="7">
        <f>D7*E7*F7+G7*E7</f>
        <v/>
      </c>
      <c r="I7" s="7">
        <f>IFERROR(H7/F7,0)</f>
        <v/>
      </c>
    </row>
    <row r="8">
      <c r="A8" s="6" t="n"/>
      <c r="B8" s="6" t="n"/>
      <c r="C8" s="6" t="n"/>
      <c r="D8" s="6" t="n"/>
      <c r="E8" s="6" t="n"/>
      <c r="F8" s="6" t="n"/>
      <c r="G8" s="6" t="n"/>
      <c r="H8" s="7">
        <f>D8*E8*F8+G8*E8</f>
        <v/>
      </c>
      <c r="I8" s="7">
        <f>IFERROR(H8/F8,0)</f>
        <v/>
      </c>
    </row>
    <row r="9">
      <c r="A9" s="6" t="n"/>
      <c r="B9" s="6" t="n"/>
      <c r="C9" s="6" t="n"/>
      <c r="D9" s="6" t="n"/>
      <c r="E9" s="6" t="n"/>
      <c r="F9" s="6" t="n"/>
      <c r="G9" s="6" t="n"/>
      <c r="H9" s="7">
        <f>D9*E9*F9+G9*E9</f>
        <v/>
      </c>
      <c r="I9" s="7">
        <f>IFERROR(H9/F9,0)</f>
        <v/>
      </c>
    </row>
    <row r="11">
      <c r="A11" s="4" t="inlineStr">
        <is>
          <t>2. 매도 내역</t>
        </is>
      </c>
    </row>
    <row r="12">
      <c r="A12" s="5" t="inlineStr">
        <is>
          <t>종목명</t>
        </is>
      </c>
      <c r="B12" s="5" t="inlineStr">
        <is>
          <t>매도일</t>
        </is>
      </c>
      <c r="C12" s="5" t="inlineStr">
        <is>
          <t>매도가(외화,$)</t>
        </is>
      </c>
      <c r="D12" s="5" t="inlineStr">
        <is>
          <t>매도환율(원/$)</t>
        </is>
      </c>
      <c r="E12" s="5" t="inlineStr">
        <is>
          <t>매도수량(주)</t>
        </is>
      </c>
      <c r="F12" s="5" t="inlineStr">
        <is>
          <t>매도수수료(외화,$)</t>
        </is>
      </c>
      <c r="G12" s="5" t="inlineStr">
        <is>
          <t>매도금액(수수료차감,원)</t>
        </is>
      </c>
    </row>
    <row r="13">
      <c r="A13" s="6" t="inlineStr">
        <is>
          <t>애플</t>
        </is>
      </c>
      <c r="B13" s="6" t="inlineStr">
        <is>
          <t>2024-12-20</t>
        </is>
      </c>
      <c r="C13" s="6" t="n">
        <v>260</v>
      </c>
      <c r="D13" s="6" t="n">
        <v>1400</v>
      </c>
      <c r="E13" s="6" t="n">
        <v>30</v>
      </c>
      <c r="F13" s="6" t="n">
        <v>15</v>
      </c>
      <c r="G13" s="7">
        <f>C13*D13*E13-F13*D13</f>
        <v/>
      </c>
    </row>
    <row r="14">
      <c r="A14" s="6" t="inlineStr">
        <is>
          <t>테슬라</t>
        </is>
      </c>
      <c r="B14" s="6" t="inlineStr">
        <is>
          <t>2024-11-10</t>
        </is>
      </c>
      <c r="C14" s="6" t="n">
        <v>190</v>
      </c>
      <c r="D14" s="6" t="n">
        <v>1390</v>
      </c>
      <c r="E14" s="6" t="n">
        <v>15</v>
      </c>
      <c r="F14" s="6" t="n">
        <v>8</v>
      </c>
      <c r="G14" s="7">
        <f>C14*D14*E14-F14*D14</f>
        <v/>
      </c>
    </row>
    <row r="15">
      <c r="A15" s="6" t="n"/>
      <c r="B15" s="6" t="n"/>
      <c r="C15" s="6" t="n"/>
      <c r="D15" s="6" t="n"/>
      <c r="E15" s="6" t="n"/>
      <c r="F15" s="6" t="n"/>
      <c r="G15" s="7">
        <f>C15*D15*E15-F15*D15</f>
        <v/>
      </c>
    </row>
    <row r="16">
      <c r="A16" s="6" t="n"/>
      <c r="B16" s="6" t="n"/>
      <c r="C16" s="6" t="n"/>
      <c r="D16" s="6" t="n"/>
      <c r="E16" s="6" t="n"/>
      <c r="F16" s="6" t="n"/>
      <c r="G16" s="7">
        <f>C16*D16*E16-F16*D16</f>
        <v/>
      </c>
    </row>
    <row r="17">
      <c r="A17" s="6" t="n"/>
      <c r="B17" s="6" t="n"/>
      <c r="C17" s="6" t="n"/>
      <c r="D17" s="6" t="n"/>
      <c r="E17" s="6" t="n"/>
      <c r="F17" s="6" t="n"/>
      <c r="G17" s="7">
        <f>C17*D17*E17-F17*D17</f>
        <v/>
      </c>
    </row>
    <row r="19">
      <c r="A19" s="4" t="inlineStr">
        <is>
          <t>3. 이동평균법 계산</t>
        </is>
      </c>
    </row>
    <row r="20">
      <c r="A20" s="5" t="inlineStr">
        <is>
          <t>종목명</t>
        </is>
      </c>
      <c r="B20" s="5" t="inlineStr">
        <is>
          <t>총매수수량(주)</t>
        </is>
      </c>
      <c r="C20" s="5" t="inlineStr">
        <is>
          <t>총매수금액합(원)</t>
        </is>
      </c>
      <c r="D20" s="5" t="inlineStr">
        <is>
          <t>평균단가(원/주)</t>
        </is>
      </c>
      <c r="E20" s="5" t="inlineStr">
        <is>
          <t>매도수량(주)</t>
        </is>
      </c>
      <c r="F20" s="5" t="inlineStr">
        <is>
          <t>이동평균 취득원가(원)</t>
        </is>
      </c>
      <c r="G20" s="5" t="inlineStr">
        <is>
          <t>매도금액(원)</t>
        </is>
      </c>
      <c r="H20" s="5" t="inlineStr">
        <is>
          <t>양도차익(이동평균,원)</t>
        </is>
      </c>
    </row>
    <row r="21">
      <c r="A21" t="inlineStr">
        <is>
          <t>애플</t>
        </is>
      </c>
      <c r="B21" s="7">
        <f>SUMIF(A3:A9,A21,F3:F9)</f>
        <v/>
      </c>
      <c r="C21" s="7">
        <f>SUMIF(A3:A9,A21,H3:H9)</f>
        <v/>
      </c>
      <c r="D21" s="8">
        <f>IFERROR(C21/B21,0)</f>
        <v/>
      </c>
      <c r="E21" s="7">
        <f>SUMIF(A13:A17,A21,E13:E17)</f>
        <v/>
      </c>
      <c r="F21" s="7">
        <f>D21*E21</f>
        <v/>
      </c>
      <c r="G21" s="7">
        <f>SUMIF(A13:A17,A21,G13:G17)</f>
        <v/>
      </c>
      <c r="H21" s="7">
        <f>G21-F21</f>
        <v/>
      </c>
    </row>
    <row r="22">
      <c r="A22" t="inlineStr">
        <is>
          <t>테슬라</t>
        </is>
      </c>
      <c r="B22" s="7">
        <f>SUMIF(A3:A9,A22,F3:F9)</f>
        <v/>
      </c>
      <c r="C22" s="7">
        <f>SUMIF(A3:A9,A22,H3:H9)</f>
        <v/>
      </c>
      <c r="D22" s="8">
        <f>IFERROR(C22/B22,0)</f>
        <v/>
      </c>
      <c r="E22" s="7">
        <f>SUMIF(A13:A17,A22,E13:E17)</f>
        <v/>
      </c>
      <c r="F22" s="7">
        <f>D22*E22</f>
        <v/>
      </c>
      <c r="G22" s="7">
        <f>SUMIF(A13:A17,A22,G13:G17)</f>
        <v/>
      </c>
      <c r="H22" s="7">
        <f>G22-F22</f>
        <v/>
      </c>
    </row>
    <row r="24">
      <c r="A24" s="4" t="inlineStr">
        <is>
          <t>4. 선입선출법 비교 (Lot별 배분수량 직접 입력)</t>
        </is>
      </c>
    </row>
    <row r="25">
      <c r="A25" s="5" t="inlineStr">
        <is>
          <t>종목명</t>
        </is>
      </c>
      <c r="B25" s="5" t="inlineStr">
        <is>
          <t>Lot1 배분수량</t>
        </is>
      </c>
      <c r="C25" s="5" t="inlineStr">
        <is>
          <t>Lot1원가(원)</t>
        </is>
      </c>
      <c r="D25" s="5" t="inlineStr">
        <is>
          <t>Lot2 배분수량</t>
        </is>
      </c>
      <c r="E25" s="5" t="inlineStr">
        <is>
          <t>Lot2원가(원)</t>
        </is>
      </c>
      <c r="F25" s="5" t="inlineStr">
        <is>
          <t>배분합계(주)</t>
        </is>
      </c>
      <c r="G25" s="5" t="inlineStr">
        <is>
          <t>FIFO 취득원가 합(원)</t>
        </is>
      </c>
      <c r="H25" s="5" t="inlineStr">
        <is>
          <t>매도금액(원)</t>
        </is>
      </c>
      <c r="I25" s="5" t="inlineStr">
        <is>
          <t>양도차익(FIFO,원)</t>
        </is>
      </c>
      <c r="J25" s="5" t="inlineStr">
        <is>
          <t>이동평균 대비 차이(원)</t>
        </is>
      </c>
    </row>
    <row r="26">
      <c r="A26" t="inlineStr">
        <is>
          <t>애플</t>
        </is>
      </c>
      <c r="B26" s="6" t="n">
        <v>25</v>
      </c>
      <c r="C26" s="7">
        <f>B26*I3</f>
        <v/>
      </c>
      <c r="D26" s="6" t="n">
        <v>5</v>
      </c>
      <c r="E26" s="7">
        <f>D26*I4</f>
        <v/>
      </c>
      <c r="F26" s="7">
        <f>B26+D26</f>
        <v/>
      </c>
      <c r="G26" s="7">
        <f>C26+E26</f>
        <v/>
      </c>
      <c r="H26" s="7">
        <f>G21</f>
        <v/>
      </c>
      <c r="I26" s="7">
        <f>H26-G26</f>
        <v/>
      </c>
      <c r="J26" s="7">
        <f>I26-H21</f>
        <v/>
      </c>
    </row>
    <row r="27">
      <c r="A27" t="inlineStr">
        <is>
          <t>테슬라</t>
        </is>
      </c>
      <c r="B27" s="6" t="n">
        <v>15</v>
      </c>
      <c r="C27" s="7">
        <f>B27*I5</f>
        <v/>
      </c>
      <c r="D27" s="6" t="n">
        <v>0</v>
      </c>
      <c r="E27" s="7" t="n">
        <v>0</v>
      </c>
      <c r="F27" s="7">
        <f>B27+D27</f>
        <v/>
      </c>
      <c r="G27" s="7">
        <f>C27+E27</f>
        <v/>
      </c>
      <c r="H27" s="7">
        <f>G22</f>
        <v/>
      </c>
      <c r="I27" s="7">
        <f>H27-G27</f>
        <v/>
      </c>
      <c r="J27" s="7">
        <f>I27-H22</f>
        <v/>
      </c>
    </row>
    <row r="28">
      <c r="A28" s="3" t="inlineStr">
        <is>
          <t>※ 배분합계(주)가 매도수량(주)과 다르면 Lot1·Lot2 배분수량을 다시 확인하세요. Lot이 1개뿐인 종목(전량 매도)은 이동평균=선입선출로 차이가 0이 됩니다.</t>
        </is>
      </c>
    </row>
    <row r="30">
      <c r="A30" s="4" t="inlineStr">
        <is>
          <t>5. 종목별 손익 요약 &amp; 손익통산</t>
        </is>
      </c>
    </row>
    <row r="31">
      <c r="A31" s="5" t="inlineStr">
        <is>
          <t>종목명</t>
        </is>
      </c>
      <c r="B31" s="5" t="inlineStr">
        <is>
          <t>적용방식</t>
        </is>
      </c>
      <c r="C31" s="5" t="inlineStr">
        <is>
          <t>선택적용 양도차익(원)</t>
        </is>
      </c>
    </row>
    <row r="32">
      <c r="A32" t="inlineStr">
        <is>
          <t>애플</t>
        </is>
      </c>
      <c r="B32" s="6" t="inlineStr">
        <is>
          <t>이동평균</t>
        </is>
      </c>
      <c r="C32" s="7">
        <f>IF(B32="이동평균",H21,I26)</f>
        <v/>
      </c>
    </row>
    <row r="33">
      <c r="A33" t="inlineStr">
        <is>
          <t>테슬라</t>
        </is>
      </c>
      <c r="B33" s="6" t="inlineStr">
        <is>
          <t>이동평균</t>
        </is>
      </c>
      <c r="C33" s="7">
        <f>IF(B33="이동평균",H22,I27)</f>
        <v/>
      </c>
    </row>
    <row r="34">
      <c r="B34" s="9" t="inlineStr">
        <is>
          <t>손익통산 합계 (전체)</t>
        </is>
      </c>
      <c r="C34" s="10">
        <f>SUM(C32:C33)</f>
        <v/>
      </c>
    </row>
  </sheetData>
  <mergeCells count="1">
    <mergeCell ref="A28:J28"/>
  </mergeCells>
  <dataValidations count="1">
    <dataValidation sqref="B32:B33" showDropDown="0" showInputMessage="0" showErrorMessage="0" allowBlank="1" type="list">
      <formula1>"이동평균,선입선출"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2026-10-29T21:13:05Z</dcterms:created>
  <dcterms:modified xmlns:dcterms="http://purl.org/dc/terms/" xmlns:xsi="http://www.w3.org/2001/XMLSchema-instance" xsi:type="dcterms:W3CDTF">2026-10-29T21:13:05Z</dcterms:modified>
</cp:coreProperties>
</file>