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F6215"/>
      <sz val="15"/>
    </font>
    <font>
      <color rgb="00262C3D"/>
      <sz val="11"/>
    </font>
    <font>
      <i val="1"/>
      <color rgb="00565F72"/>
      <sz val="10"/>
    </font>
    <font>
      <b val="1"/>
      <color rgb="00262C3D"/>
      <sz val="12"/>
    </font>
    <font>
      <b val="1"/>
      <color rgb="00FFFFFF"/>
      <sz val="11"/>
    </font>
    <font>
      <b val="1"/>
      <color rgb="00262C3D"/>
      <sz val="11"/>
    </font>
  </fonts>
  <fills count="5">
    <fill>
      <patternFill/>
    </fill>
    <fill>
      <patternFill patternType="gray125"/>
    </fill>
    <fill>
      <patternFill patternType="solid">
        <fgColor rgb="008F6215"/>
      </patternFill>
    </fill>
    <fill>
      <patternFill patternType="solid">
        <fgColor rgb="00FFF2CC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3" fontId="0" fillId="3" borderId="0" pivotButton="0" quotePrefix="0" xfId="0"/>
    <xf numFmtId="3" fontId="2" fillId="4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A. 해외주식 거래내역통합·환율환산 계산기</t>
        </is>
      </c>
    </row>
    <row r="2" ht="20" customHeight="1"/>
    <row r="3" ht="20" customHeight="1">
      <c r="A3" s="2" t="inlineStr">
        <is>
          <t>1. [거래내역] 표에 증권사별 매수·매도 거래를 한 줄씩 입력하세요. 구분(매수/매도)은 드롭다운으로 고르세요.</t>
        </is>
      </c>
    </row>
    <row r="4" ht="20" customHeight="1">
      <c r="A4" s="2" t="inlineStr">
        <is>
          <t>2. 거래가(외화)·거래환율·수량·수수료(외화)를 입력하면 거래금액(원)과 수수료(원)가 자동 계산됩니다.</t>
        </is>
      </c>
    </row>
    <row r="5" ht="20" customHeight="1">
      <c r="A5" s="2" t="inlineStr">
        <is>
          <t>3. 매수는 수수료를 더하고 매도는 수수료를 뺀 '거래금액(수수료반영,원)'까지 자동 계산됩니다. 이 값을 다음 계산기(취득원가·손익통산 계산기)의 입력값으로 그대로 옮기세요.</t>
        </is>
      </c>
    </row>
    <row r="6" ht="20" customHeight="1">
      <c r="A6" s="2" t="inlineStr">
        <is>
          <t>4. 노란색 칸이 입력 칸, 올리브색 칸이 결과 칸입니다. 종목별 합계표는 같은 종목이 여러 증권사에 걸쳐 있어도 자동으로 합산해 보여줍니다.</t>
        </is>
      </c>
    </row>
    <row r="7" ht="20" customHeight="1">
      <c r="A7" s="2" t="inlineStr">
        <is>
          <t>5. 같은 사람의 해외주식 양도소득은 증권사와 관계없이 1월 1일~12월 31일 거래를 전부 합산해서 신고합니다. 거래내역을 받을 때 증권사 목록이 빠짐없는지 먼저 확인하세요.</t>
        </is>
      </c>
    </row>
    <row r="8" ht="20" customHeight="1"/>
    <row r="9" ht="20" customHeight="1">
      <c r="A9" s="3" t="inlineStr">
        <is>
          <t>※ 환율은 소득세법 시행령 제162조의2에 따른 거래 당시 기준환율·재정환율(또는 증권사 결제일 환율) 기준입니다. 실제 적용 환율은 증권사 거래내역서 또는 한국은행·서울외국환중개 고시환율로 반드시 재확인하세요. 세법·환율 기준은 바뀔 수 있으므로 매 신고 시즌마다 다시 확인하세요.</t>
        </is>
      </c>
    </row>
    <row r="10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3" customWidth="1" min="4" max="4"/>
    <col width="15" customWidth="1" min="5" max="5"/>
    <col width="15" customWidth="1" min="6" max="6"/>
    <col width="11" customWidth="1" min="7" max="7"/>
    <col width="16" customWidth="1" min="8" max="8"/>
    <col width="15" customWidth="1" min="9" max="9"/>
    <col width="13" customWidth="1" min="10" max="10"/>
    <col width="20" customWidth="1" min="11" max="11"/>
  </cols>
  <sheetData>
    <row r="1">
      <c r="A1" s="4" t="inlineStr">
        <is>
          <t>1. 거래내역 (여러 증권사 합산)</t>
        </is>
      </c>
    </row>
    <row r="2">
      <c r="A2" s="5" t="inlineStr">
        <is>
          <t>증권사</t>
        </is>
      </c>
      <c r="B2" s="5" t="inlineStr">
        <is>
          <t>종목명</t>
        </is>
      </c>
      <c r="C2" s="5" t="inlineStr">
        <is>
          <t>구분</t>
        </is>
      </c>
      <c r="D2" s="5" t="inlineStr">
        <is>
          <t>거래일</t>
        </is>
      </c>
      <c r="E2" s="5" t="inlineStr">
        <is>
          <t>거래가(외화,$)</t>
        </is>
      </c>
      <c r="F2" s="5" t="inlineStr">
        <is>
          <t>거래환율(원/$)</t>
        </is>
      </c>
      <c r="G2" s="5" t="inlineStr">
        <is>
          <t>수량(주)</t>
        </is>
      </c>
      <c r="H2" s="5" t="inlineStr">
        <is>
          <t>수수료(외화,$)</t>
        </is>
      </c>
      <c r="I2" s="5" t="inlineStr">
        <is>
          <t>거래금액(원)</t>
        </is>
      </c>
      <c r="J2" s="5" t="inlineStr">
        <is>
          <t>수수료(원)</t>
        </is>
      </c>
      <c r="K2" s="5" t="inlineStr">
        <is>
          <t>거래금액(수수료반영,원)</t>
        </is>
      </c>
    </row>
    <row r="3">
      <c r="A3" s="6" t="inlineStr">
        <is>
          <t>토스증권</t>
        </is>
      </c>
      <c r="B3" s="6" t="inlineStr">
        <is>
          <t>애플</t>
        </is>
      </c>
      <c r="C3" s="6" t="inlineStr">
        <is>
          <t>매수</t>
        </is>
      </c>
      <c r="D3" s="6" t="inlineStr">
        <is>
          <t>2024-01-05</t>
        </is>
      </c>
      <c r="E3" s="7" t="n">
        <v>130</v>
      </c>
      <c r="F3" s="8" t="n">
        <v>1310</v>
      </c>
      <c r="G3" s="8" t="n">
        <v>25</v>
      </c>
      <c r="H3" s="7" t="n">
        <v>8</v>
      </c>
      <c r="I3" s="9">
        <f>E3*F3*G3</f>
        <v/>
      </c>
      <c r="J3" s="9">
        <f>H3*F3</f>
        <v/>
      </c>
      <c r="K3" s="9">
        <f>IF(C3="매수",I3+J3,IF(C3="매도",I3-J3,""))</f>
        <v/>
      </c>
    </row>
    <row r="4">
      <c r="A4" s="6" t="inlineStr">
        <is>
          <t>토스증권</t>
        </is>
      </c>
      <c r="B4" s="6" t="inlineStr">
        <is>
          <t>애플</t>
        </is>
      </c>
      <c r="C4" s="6" t="inlineStr">
        <is>
          <t>매수</t>
        </is>
      </c>
      <c r="D4" s="6" t="inlineStr">
        <is>
          <t>2024-02-20</t>
        </is>
      </c>
      <c r="E4" s="7" t="n">
        <v>150</v>
      </c>
      <c r="F4" s="8" t="n">
        <v>1330</v>
      </c>
      <c r="G4" s="8" t="n">
        <v>25</v>
      </c>
      <c r="H4" s="7" t="n">
        <v>7</v>
      </c>
      <c r="I4" s="9">
        <f>E4*F4*G4</f>
        <v/>
      </c>
      <c r="J4" s="9">
        <f>H4*F4</f>
        <v/>
      </c>
      <c r="K4" s="9">
        <f>IF(C4="매수",I4+J4,IF(C4="매도",I4-J4,""))</f>
        <v/>
      </c>
    </row>
    <row r="5">
      <c r="A5" s="6" t="inlineStr">
        <is>
          <t>미래에셋증권</t>
        </is>
      </c>
      <c r="B5" s="6" t="inlineStr">
        <is>
          <t>애플</t>
        </is>
      </c>
      <c r="C5" s="6" t="inlineStr">
        <is>
          <t>매도</t>
        </is>
      </c>
      <c r="D5" s="6" t="inlineStr">
        <is>
          <t>2024-12-20</t>
        </is>
      </c>
      <c r="E5" s="7" t="n">
        <v>260</v>
      </c>
      <c r="F5" s="8" t="n">
        <v>1400</v>
      </c>
      <c r="G5" s="8" t="n">
        <v>30</v>
      </c>
      <c r="H5" s="7" t="n">
        <v>15</v>
      </c>
      <c r="I5" s="9">
        <f>E5*F5*G5</f>
        <v/>
      </c>
      <c r="J5" s="9">
        <f>H5*F5</f>
        <v/>
      </c>
      <c r="K5" s="9">
        <f>IF(C5="매수",I5+J5,IF(C5="매도",I5-J5,""))</f>
        <v/>
      </c>
    </row>
    <row r="6">
      <c r="A6" s="6" t="inlineStr">
        <is>
          <t>삼성증권</t>
        </is>
      </c>
      <c r="B6" s="6" t="inlineStr">
        <is>
          <t>테슬라</t>
        </is>
      </c>
      <c r="C6" s="6" t="inlineStr">
        <is>
          <t>매수</t>
        </is>
      </c>
      <c r="D6" s="6" t="inlineStr">
        <is>
          <t>2024-03-05</t>
        </is>
      </c>
      <c r="E6" s="7" t="n">
        <v>250</v>
      </c>
      <c r="F6" s="8" t="n">
        <v>1320</v>
      </c>
      <c r="G6" s="8" t="n">
        <v>15</v>
      </c>
      <c r="H6" s="7" t="n">
        <v>10</v>
      </c>
      <c r="I6" s="9">
        <f>E6*F6*G6</f>
        <v/>
      </c>
      <c r="J6" s="9">
        <f>H6*F6</f>
        <v/>
      </c>
      <c r="K6" s="9">
        <f>IF(C6="매수",I6+J6,IF(C6="매도",I6-J6,""))</f>
        <v/>
      </c>
    </row>
    <row r="7">
      <c r="A7" s="6" t="inlineStr">
        <is>
          <t>삼성증권</t>
        </is>
      </c>
      <c r="B7" s="6" t="inlineStr">
        <is>
          <t>테슬라</t>
        </is>
      </c>
      <c r="C7" s="6" t="inlineStr">
        <is>
          <t>매도</t>
        </is>
      </c>
      <c r="D7" s="6" t="inlineStr">
        <is>
          <t>2024-11-10</t>
        </is>
      </c>
      <c r="E7" s="7" t="n">
        <v>190</v>
      </c>
      <c r="F7" s="8" t="n">
        <v>1390</v>
      </c>
      <c r="G7" s="8" t="n">
        <v>15</v>
      </c>
      <c r="H7" s="7" t="n">
        <v>8</v>
      </c>
      <c r="I7" s="9">
        <f>E7*F7*G7</f>
        <v/>
      </c>
      <c r="J7" s="9">
        <f>H7*F7</f>
        <v/>
      </c>
      <c r="K7" s="9">
        <f>IF(C7="매수",I7+J7,IF(C7="매도",I7-J7,""))</f>
        <v/>
      </c>
    </row>
    <row r="8">
      <c r="A8" s="6" t="n"/>
      <c r="B8" s="6" t="n"/>
      <c r="C8" s="6" t="n"/>
      <c r="D8" s="6" t="n"/>
      <c r="E8" s="7" t="n"/>
      <c r="F8" s="8" t="n"/>
      <c r="G8" s="8" t="n"/>
      <c r="H8" s="7" t="n"/>
      <c r="I8" s="9">
        <f>E8*F8*G8</f>
        <v/>
      </c>
      <c r="J8" s="9">
        <f>H8*F8</f>
        <v/>
      </c>
      <c r="K8" s="9">
        <f>IF(C8="매수",I8+J8,IF(C8="매도",I8-J8,""))</f>
        <v/>
      </c>
    </row>
    <row r="9">
      <c r="A9" s="6" t="n"/>
      <c r="B9" s="6" t="n"/>
      <c r="C9" s="6" t="n"/>
      <c r="D9" s="6" t="n"/>
      <c r="E9" s="7" t="n"/>
      <c r="F9" s="8" t="n"/>
      <c r="G9" s="8" t="n"/>
      <c r="H9" s="7" t="n"/>
      <c r="I9" s="9">
        <f>E9*F9*G9</f>
        <v/>
      </c>
      <c r="J9" s="9">
        <f>H9*F9</f>
        <v/>
      </c>
      <c r="K9" s="9">
        <f>IF(C9="매수",I9+J9,IF(C9="매도",I9-J9,""))</f>
        <v/>
      </c>
    </row>
    <row r="10">
      <c r="A10" s="6" t="n"/>
      <c r="B10" s="6" t="n"/>
      <c r="C10" s="6" t="n"/>
      <c r="D10" s="6" t="n"/>
      <c r="E10" s="7" t="n"/>
      <c r="F10" s="8" t="n"/>
      <c r="G10" s="8" t="n"/>
      <c r="H10" s="7" t="n"/>
      <c r="I10" s="9">
        <f>E10*F10*G10</f>
        <v/>
      </c>
      <c r="J10" s="9">
        <f>H10*F10</f>
        <v/>
      </c>
      <c r="K10" s="9">
        <f>IF(C10="매수",I10+J10,IF(C10="매도",I10-J10,""))</f>
        <v/>
      </c>
    </row>
    <row r="11">
      <c r="A11" s="6" t="n"/>
      <c r="B11" s="6" t="n"/>
      <c r="C11" s="6" t="n"/>
      <c r="D11" s="6" t="n"/>
      <c r="E11" s="7" t="n"/>
      <c r="F11" s="8" t="n"/>
      <c r="G11" s="8" t="n"/>
      <c r="H11" s="7" t="n"/>
      <c r="I11" s="9">
        <f>E11*F11*G11</f>
        <v/>
      </c>
      <c r="J11" s="9">
        <f>H11*F11</f>
        <v/>
      </c>
      <c r="K11" s="9">
        <f>IF(C11="매수",I11+J11,IF(C11="매도",I11-J11,""))</f>
        <v/>
      </c>
    </row>
    <row r="12">
      <c r="A12" s="6" t="n"/>
      <c r="B12" s="6" t="n"/>
      <c r="C12" s="6" t="n"/>
      <c r="D12" s="6" t="n"/>
      <c r="E12" s="7" t="n"/>
      <c r="F12" s="8" t="n"/>
      <c r="G12" s="8" t="n"/>
      <c r="H12" s="7" t="n"/>
      <c r="I12" s="9">
        <f>E12*F12*G12</f>
        <v/>
      </c>
      <c r="J12" s="9">
        <f>H12*F12</f>
        <v/>
      </c>
      <c r="K12" s="9">
        <f>IF(C12="매수",I12+J12,IF(C12="매도",I12-J12,""))</f>
        <v/>
      </c>
    </row>
    <row r="13">
      <c r="A13" s="6" t="n"/>
      <c r="B13" s="6" t="n"/>
      <c r="C13" s="6" t="n"/>
      <c r="D13" s="6" t="n"/>
      <c r="E13" s="7" t="n"/>
      <c r="F13" s="8" t="n"/>
      <c r="G13" s="8" t="n"/>
      <c r="H13" s="7" t="n"/>
      <c r="I13" s="9">
        <f>E13*F13*G13</f>
        <v/>
      </c>
      <c r="J13" s="9">
        <f>H13*F13</f>
        <v/>
      </c>
      <c r="K13" s="9">
        <f>IF(C13="매수",I13+J13,IF(C13="매도",I13-J13,""))</f>
        <v/>
      </c>
    </row>
    <row r="14">
      <c r="A14" s="6" t="n"/>
      <c r="B14" s="6" t="n"/>
      <c r="C14" s="6" t="n"/>
      <c r="D14" s="6" t="n"/>
      <c r="E14" s="7" t="n"/>
      <c r="F14" s="8" t="n"/>
      <c r="G14" s="8" t="n"/>
      <c r="H14" s="7" t="n"/>
      <c r="I14" s="9">
        <f>E14*F14*G14</f>
        <v/>
      </c>
      <c r="J14" s="9">
        <f>H14*F14</f>
        <v/>
      </c>
      <c r="K14" s="9">
        <f>IF(C14="매수",I14+J14,IF(C14="매도",I14-J14,""))</f>
        <v/>
      </c>
    </row>
    <row r="15">
      <c r="A15" s="6" t="n"/>
      <c r="B15" s="6" t="n"/>
      <c r="C15" s="6" t="n"/>
      <c r="D15" s="6" t="n"/>
      <c r="E15" s="7" t="n"/>
      <c r="F15" s="8" t="n"/>
      <c r="G15" s="8" t="n"/>
      <c r="H15" s="7" t="n"/>
      <c r="I15" s="9">
        <f>E15*F15*G15</f>
        <v/>
      </c>
      <c r="J15" s="9">
        <f>H15*F15</f>
        <v/>
      </c>
      <c r="K15" s="9">
        <f>IF(C15="매수",I15+J15,IF(C15="매도",I15-J15,""))</f>
        <v/>
      </c>
    </row>
    <row r="16">
      <c r="A16" s="6" t="n"/>
      <c r="B16" s="6" t="n"/>
      <c r="C16" s="6" t="n"/>
      <c r="D16" s="6" t="n"/>
      <c r="E16" s="7" t="n"/>
      <c r="F16" s="8" t="n"/>
      <c r="G16" s="8" t="n"/>
      <c r="H16" s="7" t="n"/>
      <c r="I16" s="9">
        <f>E16*F16*G16</f>
        <v/>
      </c>
      <c r="J16" s="9">
        <f>H16*F16</f>
        <v/>
      </c>
      <c r="K16" s="9">
        <f>IF(C16="매수",I16+J16,IF(C16="매도",I16-J16,""))</f>
        <v/>
      </c>
    </row>
    <row r="17">
      <c r="A17" s="6" t="n"/>
      <c r="B17" s="6" t="n"/>
      <c r="C17" s="6" t="n"/>
      <c r="D17" s="6" t="n"/>
      <c r="E17" s="7" t="n"/>
      <c r="F17" s="8" t="n"/>
      <c r="G17" s="8" t="n"/>
      <c r="H17" s="7" t="n"/>
      <c r="I17" s="9">
        <f>E17*F17*G17</f>
        <v/>
      </c>
      <c r="J17" s="9">
        <f>H17*F17</f>
        <v/>
      </c>
      <c r="K17" s="9">
        <f>IF(C17="매수",I17+J17,IF(C17="매도",I17-J17,""))</f>
        <v/>
      </c>
    </row>
    <row r="19">
      <c r="A19" s="4" t="inlineStr">
        <is>
          <t>2. 종목별 합계 확인 (여러 증권사 거래가 자동으로 합산되는지 확인)</t>
        </is>
      </c>
    </row>
    <row r="20">
      <c r="A20" s="5" t="inlineStr">
        <is>
          <t>종목명</t>
        </is>
      </c>
      <c r="B20" s="5" t="inlineStr">
        <is>
          <t>매수수량 합계(주)</t>
        </is>
      </c>
      <c r="C20" s="5" t="inlineStr">
        <is>
          <t>매수금액 합계(수수료반영,원)</t>
        </is>
      </c>
      <c r="D20" s="5" t="inlineStr">
        <is>
          <t>매도수량 합계(주)</t>
        </is>
      </c>
      <c r="E20" s="5" t="inlineStr">
        <is>
          <t>매도금액 합계(수수료반영,원)</t>
        </is>
      </c>
    </row>
    <row r="21">
      <c r="A21" t="inlineStr">
        <is>
          <t>애플</t>
        </is>
      </c>
      <c r="B21" s="10">
        <f>SUMIFS(G3:G17,B3:B17,A21,C3:C17,"매수")</f>
        <v/>
      </c>
      <c r="C21" s="10">
        <f>SUMIFS(K3:K17,B3:B17,A21,C3:C17,"매수")</f>
        <v/>
      </c>
      <c r="D21" s="10">
        <f>SUMIFS(G3:G17,B3:B17,A21,C3:C17,"매도")</f>
        <v/>
      </c>
      <c r="E21" s="10">
        <f>SUMIFS(K3:K17,B3:B17,A21,C3:C17,"매도")</f>
        <v/>
      </c>
    </row>
    <row r="22">
      <c r="A22" t="inlineStr">
        <is>
          <t>테슬라</t>
        </is>
      </c>
      <c r="B22" s="10">
        <f>SUMIFS(G3:G17,B3:B17,A22,C3:C17,"매수")</f>
        <v/>
      </c>
      <c r="C22" s="10">
        <f>SUMIFS(K3:K17,B3:B17,A22,C3:C17,"매수")</f>
        <v/>
      </c>
      <c r="D22" s="10">
        <f>SUMIFS(G3:G17,B3:B17,A22,C3:C17,"매도")</f>
        <v/>
      </c>
      <c r="E22" s="10">
        <f>SUMIFS(K3:K17,B3:B17,A22,C3:C17,"매도")</f>
        <v/>
      </c>
    </row>
    <row r="24">
      <c r="A24" s="3" t="inlineStr">
        <is>
          <t>※ 이 표의 매수금액·매도금액(수수료반영) 값을 다음 계산기 B(취득원가·종목별손익·손익통산 계산기)의 Lot 입력값·매도내역 입력값으로 그대로 사용하세요.</t>
        </is>
      </c>
    </row>
  </sheetData>
  <mergeCells count="1">
    <mergeCell ref="A24:E24"/>
  </mergeCells>
  <dataValidations count="1">
    <dataValidation sqref="C3:C17" showDropDown="0" showInputMessage="0" showErrorMessage="0" allowBlank="1" type="list">
      <formula1>"매수,매도"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2026-10-29T21:13:04Z</dcterms:created>
  <dcterms:modified xmlns:dcterms="http://purl.org/dc/terms/" xmlns:xsi="http://www.w3.org/2001/XMLSchema-instance" xsi:type="dcterms:W3CDTF">2026-10-29T21:13:05Z</dcterms:modified>
</cp:coreProperties>
</file>