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오퍼비교" sheetId="1" state="visible" r:id="rId1"/>
    <sheet xmlns:r="http://schemas.openxmlformats.org/officeDocument/2006/relationships" name="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262C3D"/>
      <sz val="13"/>
    </font>
    <font>
      <b val="1"/>
      <color rgb="00262C3D"/>
    </font>
    <font>
      <b val="1"/>
      <color rgb="FFFFFFFF"/>
    </font>
    <font>
      <color rgb="00262C3D"/>
      <sz val="11"/>
    </font>
    <font>
      <color rgb="00262C3D"/>
    </font>
    <font>
      <color rgb="00565F72"/>
      <sz val="10"/>
    </font>
  </fonts>
  <fills count="5">
    <fill>
      <patternFill/>
    </fill>
    <fill>
      <patternFill patternType="gray125"/>
    </fill>
    <fill>
      <patternFill patternType="solid">
        <fgColor rgb="00B87F1F"/>
      </patternFill>
    </fill>
    <fill>
      <patternFill patternType="solid">
        <fgColor rgb="00FFF6D9"/>
      </patternFill>
    </fill>
    <fill>
      <patternFill patternType="solid">
        <fgColor rgb="00E3E6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3" borderId="0" pivotButton="0" quotePrefix="0" xfId="0"/>
    <xf numFmtId="3" fontId="5" fillId="4" borderId="0" pivotButton="0" quotePrefix="0" xfId="0"/>
    <xf numFmtId="3" fontId="2" fillId="4" borderId="0" pivotButton="0" quotePrefix="0" xfId="0"/>
    <xf numFmtId="0" fontId="5" fillId="4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이직 오퍼 비교 계산기 (최대 2개사)</t>
        </is>
      </c>
    </row>
    <row r="3">
      <c r="A3" s="2" t="inlineStr">
        <is>
          <t>① 오퍼 조건 입력</t>
        </is>
      </c>
    </row>
    <row r="4">
      <c r="A4" s="3" t="inlineStr">
        <is>
          <t>항목</t>
        </is>
      </c>
      <c r="B4" s="3" t="inlineStr">
        <is>
          <t>A사 오퍼</t>
        </is>
      </c>
      <c r="C4" s="3" t="inlineStr">
        <is>
          <t>B사 오퍼</t>
        </is>
      </c>
    </row>
    <row r="5">
      <c r="A5" s="4" t="inlineStr">
        <is>
          <t>기본급 (연, 세전)</t>
        </is>
      </c>
      <c r="B5" s="5" t="n">
        <v>50000000</v>
      </c>
      <c r="C5" s="5" t="n">
        <v>52000000</v>
      </c>
    </row>
    <row r="6">
      <c r="A6" s="4" t="inlineStr">
        <is>
          <t>고정 성과급 (연, 확정 지급분)</t>
        </is>
      </c>
      <c r="B6" s="5" t="n">
        <v>5000000</v>
      </c>
      <c r="C6" s="5" t="n">
        <v>1000000</v>
      </c>
    </row>
    <row r="7">
      <c r="A7" s="4" t="inlineStr">
        <is>
          <t>변동 성과급 — 최소 시나리오 (연)</t>
        </is>
      </c>
      <c r="B7" s="5" t="n">
        <v>0</v>
      </c>
      <c r="C7" s="5" t="n">
        <v>0</v>
      </c>
    </row>
    <row r="8">
      <c r="A8" s="4" t="inlineStr">
        <is>
          <t>변동 성과급 — 기대 시나리오 (연)</t>
        </is>
      </c>
      <c r="B8" s="5" t="n">
        <v>2000000</v>
      </c>
      <c r="C8" s="5" t="n">
        <v>7000000</v>
      </c>
    </row>
    <row r="9">
      <c r="A9" s="4" t="inlineStr">
        <is>
          <t>사이닝보너스 (1회성)</t>
        </is>
      </c>
      <c r="B9" s="5" t="n">
        <v>0</v>
      </c>
      <c r="C9" s="5" t="n">
        <v>3000000</v>
      </c>
    </row>
    <row r="10">
      <c r="A10" s="4" t="inlineStr">
        <is>
          <t>복지포인트 (연, 현금환산 가치)</t>
        </is>
      </c>
      <c r="B10" s="5" t="n">
        <v>1000000</v>
      </c>
      <c r="C10" s="5" t="n">
        <v>1500000</v>
      </c>
    </row>
    <row r="11">
      <c r="A11" s="4" t="inlineStr">
        <is>
          <t>부양가족 수 (본인 포함)</t>
        </is>
      </c>
      <c r="B11" s="5" t="n">
        <v>1</v>
      </c>
      <c r="C11" s="5" t="n">
        <v>1</v>
      </c>
    </row>
    <row r="12">
      <c r="A12" s="4" t="inlineStr">
        <is>
          <t>식대 비과세 적용 여부 (적용/미적용)</t>
        </is>
      </c>
      <c r="B12" s="5" t="inlineStr">
        <is>
          <t>적용</t>
        </is>
      </c>
      <c r="C12" s="5" t="inlineStr">
        <is>
          <t>적용</t>
        </is>
      </c>
    </row>
    <row r="14">
      <c r="A14" s="2" t="inlineStr">
        <is>
          <t>② 확정 실수령액 계산 (기본급 + 고정 성과급 기준, 식대 30만원/월 비과세만 반영한 간이식)</t>
        </is>
      </c>
    </row>
    <row r="15">
      <c r="A15" s="3" t="inlineStr">
        <is>
          <t>항목</t>
        </is>
      </c>
      <c r="B15" s="3" t="inlineStr">
        <is>
          <t>A사</t>
        </is>
      </c>
      <c r="C15" s="3" t="inlineStr">
        <is>
          <t>B사</t>
        </is>
      </c>
    </row>
    <row r="16">
      <c r="A16" s="4" t="inlineStr">
        <is>
          <t>확정 연 소득(기본급+고정성과급)</t>
        </is>
      </c>
      <c r="B16" s="6">
        <f>B5+B6</f>
        <v/>
      </c>
      <c r="C16" s="6">
        <f>C5+C6</f>
        <v/>
      </c>
    </row>
    <row r="17">
      <c r="A17" s="4" t="inlineStr">
        <is>
          <t>월 비과세(식대, 적용 시 30만원)</t>
        </is>
      </c>
      <c r="B17" s="6">
        <f>IF(B12="적용",300000,0)</f>
        <v/>
      </c>
      <c r="C17" s="6">
        <f>IF(C12="적용",300000,0)</f>
        <v/>
      </c>
    </row>
    <row r="18">
      <c r="A18" s="4" t="inlineStr">
        <is>
          <t>4대보험 산정 보수월액(월)</t>
        </is>
      </c>
      <c r="B18" s="6">
        <f>(B16/12)-B17</f>
        <v/>
      </c>
      <c r="C18" s="6">
        <f>(C16/12)-C17</f>
        <v/>
      </c>
    </row>
    <row r="19">
      <c r="A19" s="4" t="inlineStr">
        <is>
          <t>4대보험 공제(월, 약 9.72%)</t>
        </is>
      </c>
      <c r="B19" s="6">
        <f>ROUND(B18*0.0972,0)</f>
        <v/>
      </c>
      <c r="C19" s="6">
        <f>ROUND(C18*0.0972,0)</f>
        <v/>
      </c>
    </row>
    <row r="20">
      <c r="A20" s="4" t="inlineStr">
        <is>
          <t>연간 과세대상 급여</t>
        </is>
      </c>
      <c r="B20" s="6">
        <f>B16-B17*12</f>
        <v/>
      </c>
      <c r="C20" s="6">
        <f>C16-C17*12</f>
        <v/>
      </c>
    </row>
    <row r="21">
      <c r="A21" s="4" t="inlineStr">
        <is>
          <t>근로소득공제(간이)</t>
        </is>
      </c>
      <c r="B21" s="6">
        <f>IF(B20&lt;=5000000,B20*0.7,IF(B20&lt;=15000000,3500000+(B20-5000000)*0.4,IF(B20&lt;=45000000,7500000+(B20-15000000)*0.15,IF(B20&lt;=100000000,12000000+(B20-45000000)*0.05,14750000+(B20-100000000)*0.02))))</f>
        <v/>
      </c>
      <c r="C21" s="6">
        <f>IF(C20&lt;=5000000,C20*0.7,IF(C20&lt;=15000000,3500000+(C20-5000000)*0.4,IF(C20&lt;=45000000,7500000+(C20-15000000)*0.15,IF(C20&lt;=100000000,12000000+(C20-45000000)*0.05,14750000+(C20-100000000)*0.02))))</f>
        <v/>
      </c>
    </row>
    <row r="22">
      <c r="A22" s="4" t="inlineStr">
        <is>
          <t>과세표준(근로소득공제·인적공제 150만×가족수·표준공제 13만 반영)</t>
        </is>
      </c>
      <c r="B22" s="6">
        <f>MAX(0,(B20-B21)-B11*1500000-130000)</f>
        <v/>
      </c>
      <c r="C22" s="6">
        <f>MAX(0,(C20-C21)-C11*1500000-130000)</f>
        <v/>
      </c>
    </row>
    <row r="23">
      <c r="A23" s="4" t="inlineStr">
        <is>
          <t>산출세액(연)</t>
        </is>
      </c>
      <c r="B23" s="6">
        <f>IF(B22&lt;=14000000,B22*0.06,IF(B22&lt;=50000000,840000+(B22-14000000)*0.15,IF(B22&lt;=88000000,6240000+(B22-50000000)*0.24,IF(B22&lt;=150000000,15360000+(B22-88000000)*0.35,37060000+(B22-150000000)*0.38))))</f>
        <v/>
      </c>
      <c r="C23" s="6">
        <f>IF(C22&lt;=14000000,C22*0.06,IF(C22&lt;=50000000,840000+(C22-14000000)*0.15,IF(C22&lt;=88000000,6240000+(C22-50000000)*0.24,IF(C22&lt;=150000000,15360000+(C22-88000000)*0.35,37060000+(C22-150000000)*0.38))))</f>
        <v/>
      </c>
    </row>
    <row r="24">
      <c r="A24" s="4" t="inlineStr">
        <is>
          <t>근로소득세액공제(간이, 한도 66만원 적용)</t>
        </is>
      </c>
      <c r="B24" s="6">
        <f>MIN(660000,IF(B23&lt;=1300000,B23*0.55,1300000*0.55+(B23-1300000)*0.3))</f>
        <v/>
      </c>
      <c r="C24" s="6">
        <f>MIN(660000,IF(C23&lt;=1300000,C23*0.55,1300000*0.55+(C23-1300000)*0.3))</f>
        <v/>
      </c>
    </row>
    <row r="25">
      <c r="A25" s="4" t="inlineStr">
        <is>
          <t>결정세액(연, 지방소득세 10% 포함)</t>
        </is>
      </c>
      <c r="B25" s="6">
        <f>MAX(0,B23-B24)*1.1</f>
        <v/>
      </c>
      <c r="C25" s="6">
        <f>MAX(0,C23-C24)*1.1</f>
        <v/>
      </c>
    </row>
    <row r="26">
      <c r="A26" s="4" t="inlineStr">
        <is>
          <t>확정 월 실수령액</t>
        </is>
      </c>
      <c r="B26" s="7">
        <f>(B16/12)-B19-(B25/12)</f>
        <v/>
      </c>
      <c r="C26" s="7">
        <f>(C16/12)-C19-(C25/12)</f>
        <v/>
      </c>
    </row>
    <row r="27">
      <c r="A27" s="4" t="inlineStr">
        <is>
          <t>확정 연 실수령액</t>
        </is>
      </c>
      <c r="B27" s="7">
        <f>B26*12</f>
        <v/>
      </c>
      <c r="C27" s="7">
        <f>C26*12</f>
        <v/>
      </c>
    </row>
    <row r="30">
      <c r="A30" s="2" t="inlineStr">
        <is>
          <t>③ 변동 요소 반영 시나리오 비교</t>
        </is>
      </c>
    </row>
    <row r="31">
      <c r="A31" s="3" t="inlineStr">
        <is>
          <t>시나리오</t>
        </is>
      </c>
      <c r="B31" s="3" t="inlineStr">
        <is>
          <t>A사 연 환산 합계</t>
        </is>
      </c>
      <c r="C31" s="3" t="inlineStr">
        <is>
          <t>B사 연 환산 합계</t>
        </is>
      </c>
    </row>
    <row r="32">
      <c r="A32" s="4" t="inlineStr">
        <is>
          <t>확정 실수령액 + 사이닝보너스(1회성, 첫해만)</t>
        </is>
      </c>
      <c r="B32" s="6">
        <f>B27+B9</f>
        <v/>
      </c>
      <c r="C32" s="6">
        <f>C27+C9</f>
        <v/>
      </c>
    </row>
    <row r="33">
      <c r="A33" s="4" t="inlineStr">
        <is>
          <t>최소 시나리오 (확정 + 변동성과급 최소 + 복지포인트)</t>
        </is>
      </c>
      <c r="B33" s="6">
        <f>B27+B7+B10</f>
        <v/>
      </c>
      <c r="C33" s="6">
        <f>C27+C7+C10</f>
        <v/>
      </c>
    </row>
    <row r="34">
      <c r="A34" s="4" t="inlineStr">
        <is>
          <t>기대 시나리오 (확정 + 변동성과급 기대 + 복지포인트)</t>
        </is>
      </c>
      <c r="B34" s="6">
        <f>B27+B8+B10</f>
        <v/>
      </c>
      <c r="C34" s="6">
        <f>C27+C8+C10</f>
        <v/>
      </c>
    </row>
    <row r="35">
      <c r="A35" s="4" t="inlineStr">
        <is>
          <t>1년차 총합 (사이닝보너스 + 기대 시나리오)</t>
        </is>
      </c>
      <c r="B35" s="7">
        <f>B27+B9+B8+B10</f>
        <v/>
      </c>
      <c r="C35" s="7">
        <f>C27+C9+C8+C10</f>
        <v/>
      </c>
    </row>
    <row r="36">
      <c r="A36" s="4" t="inlineStr">
        <is>
          <t>2년차 총합 (사이닝보너스 제외, 기대 시나리오만)</t>
        </is>
      </c>
      <c r="B36" s="7">
        <f>B34</f>
        <v/>
      </c>
      <c r="C36" s="7">
        <f>C34</f>
        <v/>
      </c>
    </row>
    <row r="38">
      <c r="A38" s="2" t="inlineStr">
        <is>
          <t>④ 최종 비교</t>
        </is>
      </c>
    </row>
    <row r="39">
      <c r="A39" s="4" t="inlineStr">
        <is>
          <t>확정 실수령액 기준 우위</t>
        </is>
      </c>
      <c r="B39" s="8">
        <f>IF(B27&gt;C27,"A사 우위",IF(B27&lt;C27,"B사 우위","동일"))</f>
        <v/>
      </c>
    </row>
    <row r="40">
      <c r="A40" s="4" t="inlineStr">
        <is>
          <t>1년차 총합 기준 우위</t>
        </is>
      </c>
      <c r="B40" s="8">
        <f>IF(B35&gt;C35,"A사 우위",IF(B35&lt;C35,"B사 우위","동일"))</f>
        <v/>
      </c>
    </row>
    <row r="41">
      <c r="A41" s="4" t="inlineStr">
        <is>
          <t>2년차 총합 기준 우위</t>
        </is>
      </c>
      <c r="B41" s="8">
        <f>IF(B36&gt;C36,"A사 우위",IF(B36&lt;C36,"B사 우위","동일"))</f>
        <v/>
      </c>
    </row>
    <row r="43">
      <c r="A43" s="9" t="inlineStr">
        <is>
          <t>참고</t>
        </is>
      </c>
    </row>
    <row r="44">
      <c r="A44" s="9" t="inlineStr">
        <is>
          <t>복지포인트·사이닝보너스는 현금환산 가치로 단순 합산했습니다. 실제 체감 가치(사용 제한, 지급 조건)는 사람마다 다르니 비교의 출발점으로만 활용하세요.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14"/>
  <sheetViews>
    <sheetView workbookViewId="0">
      <selection activeCell="A1" sqref="A1"/>
    </sheetView>
  </sheetViews>
  <sheetFormatPr baseColWidth="8" defaultRowHeight="15"/>
  <cols>
    <col width="3" customWidth="1" min="1" max="1"/>
    <col width="92" customWidth="1" min="2" max="2"/>
  </cols>
  <sheetData>
    <row r="2">
      <c r="B2" s="1" t="inlineStr">
        <is>
          <t>이직 오퍼 비교 계산기</t>
        </is>
      </c>
    </row>
    <row r="4">
      <c r="B4" s="2" t="inlineStr">
        <is>
          <t>⚠ 사용 전 꼭 읽어주세요</t>
        </is>
      </c>
    </row>
    <row r="5">
      <c r="B5" s="9" t="inlineStr">
        <is>
          <t>두 회사 오퍼를 같은 기준(확정 실수령액 → 1년차 총합 → 2년차 총합)으로 비교하는 참고용 도구입니다.</t>
        </is>
      </c>
    </row>
    <row r="6">
      <c r="B6" s="9" t="inlineStr">
        <is>
          <t>세전 연봉만 비교하면 비과세·성과급 구조 차이로 순위가 바뀔 수 있습니다. (기준: 2026년 10월 확인)</t>
        </is>
      </c>
    </row>
    <row r="8">
      <c r="B8" s="2" t="inlineStr">
        <is>
          <t>사용법</t>
        </is>
      </c>
    </row>
    <row r="9">
      <c r="B9" s="9" t="inlineStr">
        <is>
          <t>① 노란색 칸(① 오퍼 조건 입력)에 A사·B사 오퍼 항목을 각각 입력</t>
        </is>
      </c>
    </row>
    <row r="10">
      <c r="B10" s="9" t="inlineStr">
        <is>
          <t>② 올리브색 칸(② 확정 실수령액 계산)에서 기본급+고정성과급 기준 실수령액이 자동 계산됨</t>
        </is>
      </c>
    </row>
    <row r="11">
      <c r="B11" s="9" t="inlineStr">
        <is>
          <t>③ ③ 변동 요소 시나리오에서 사이닝보너스·변동성과급을 반영한 1년차·2년차 총합을 비교</t>
        </is>
      </c>
    </row>
    <row r="12">
      <c r="B12" s="9" t="inlineStr">
        <is>
          <t>④ ④ 최종 비교에서 어느 회사가 어떤 기준으로 우위인지 바로 확인</t>
        </is>
      </c>
    </row>
    <row r="14">
      <c r="B14" s="9" t="inlineStr">
        <is>
          <t>오퍼가 3개 이상이면 B·C 열 오른쪽에 D열을 추가해 같은 수식을 복사하세요. 최종 선택은 직무 만족도·커리어 방향까지 함께 고려해야 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2026-10-03T21:28:51Z</dcterms:created>
  <dcterms:modified xmlns:dcterms="http://purl.org/dc/terms/" xmlns:xsi="http://www.w3.org/2001/XMLSchema-instance" xsi:type="dcterms:W3CDTF">2026-10-03T21:28:51Z</dcterms:modified>
</cp:coreProperties>
</file>