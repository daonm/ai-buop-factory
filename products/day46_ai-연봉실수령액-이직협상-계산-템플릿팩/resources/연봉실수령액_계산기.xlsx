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산기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262C3D"/>
      <sz val="13"/>
    </font>
    <font>
      <b val="1"/>
      <color rgb="00262C3D"/>
    </font>
    <font>
      <b val="1"/>
      <color rgb="FFFFFFFF"/>
    </font>
    <font>
      <color rgb="00262C3D"/>
      <sz val="11"/>
    </font>
    <font>
      <color rgb="00262C3D"/>
    </font>
    <font>
      <color rgb="00565F72"/>
      <sz val="10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3" fontId="5" fillId="3" borderId="0" pivotButton="0" quotePrefix="0" xfId="0"/>
    <xf numFmtId="1" fontId="5" fillId="3" borderId="0" pivotButton="0" quotePrefix="0" xfId="0"/>
    <xf numFmtId="0" fontId="5" fillId="3" borderId="0" pivotButton="0" quotePrefix="0" xfId="0"/>
    <xf numFmtId="3" fontId="5" fillId="4" borderId="0" pivotButton="0" quotePrefix="0" xfId="0"/>
    <xf numFmtId="3" fontId="2" fillId="4" borderId="0" pivotButton="0" quotePrefix="0" xfId="0"/>
    <xf numFmtId="165" fontId="5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4" customWidth="1" min="4" max="4"/>
  </cols>
  <sheetData>
    <row r="1">
      <c r="A1" s="1" t="inlineStr">
        <is>
          <t>연봉 실수령액 계산기 (2026년 기준)</t>
        </is>
      </c>
    </row>
    <row r="3">
      <c r="A3" s="2" t="inlineStr">
        <is>
          <t>① 2026년 4대보험 요율 참고표 (근로자 부담분)</t>
        </is>
      </c>
    </row>
    <row r="4">
      <c r="A4" s="3" t="inlineStr">
        <is>
          <t>항목</t>
        </is>
      </c>
      <c r="B4" s="3" t="inlineStr">
        <is>
          <t>요율</t>
        </is>
      </c>
    </row>
    <row r="5">
      <c r="A5" s="4" t="inlineStr">
        <is>
          <t>국민연금</t>
        </is>
      </c>
      <c r="B5" s="5" t="n">
        <v>0.0475</v>
      </c>
    </row>
    <row r="6">
      <c r="A6" s="4" t="inlineStr">
        <is>
          <t>건강보험</t>
        </is>
      </c>
      <c r="B6" s="5" t="n">
        <v>0.03595</v>
      </c>
    </row>
    <row r="7">
      <c r="A7" s="4" t="inlineStr">
        <is>
          <t>장기요양보험 (건강보험료의 비율)</t>
        </is>
      </c>
      <c r="B7" s="5" t="n">
        <v>0.1314</v>
      </c>
    </row>
    <row r="8">
      <c r="A8" s="4" t="inlineStr">
        <is>
          <t>고용보험</t>
        </is>
      </c>
      <c r="B8" s="5" t="n">
        <v>0.008999999999999999</v>
      </c>
    </row>
    <row r="10">
      <c r="A10" s="2" t="inlineStr">
        <is>
          <t>② 비과세 항목 한도 (월, 2026년 기준)</t>
        </is>
      </c>
    </row>
    <row r="11">
      <c r="A11" s="3" t="inlineStr">
        <is>
          <t>항목</t>
        </is>
      </c>
      <c r="B11" s="3" t="inlineStr">
        <is>
          <t>월 한도</t>
        </is>
      </c>
    </row>
    <row r="12">
      <c r="A12" s="4" t="inlineStr">
        <is>
          <t>식대</t>
        </is>
      </c>
      <c r="B12" s="6" t="n">
        <v>300000</v>
      </c>
    </row>
    <row r="13">
      <c r="A13" s="4" t="inlineStr">
        <is>
          <t>자가운전보조금 (본인 차량 업무용)</t>
        </is>
      </c>
      <c r="B13" s="6" t="n">
        <v>200000</v>
      </c>
    </row>
    <row r="14">
      <c r="A14" s="4" t="inlineStr">
        <is>
          <t>출산·보육수당 (만 6세 이하 자녀)</t>
        </is>
      </c>
      <c r="B14" s="6" t="n">
        <v>200000</v>
      </c>
    </row>
    <row r="16">
      <c r="A16" s="2" t="inlineStr">
        <is>
          <t>③ 조건 입력</t>
        </is>
      </c>
    </row>
    <row r="17">
      <c r="A17" s="4" t="inlineStr">
        <is>
          <t>연봉 (세전, 원)</t>
        </is>
      </c>
      <c r="B17" s="7" t="n">
        <v>50000000</v>
      </c>
    </row>
    <row r="18">
      <c r="A18" s="4" t="inlineStr">
        <is>
          <t>부양가족 수 (본인 포함)</t>
        </is>
      </c>
      <c r="B18" s="8" t="n">
        <v>1</v>
      </c>
    </row>
    <row r="19">
      <c r="A19" s="4" t="inlineStr">
        <is>
          <t>식대 비과세 적용 여부 (적용/미적용)</t>
        </is>
      </c>
      <c r="B19" s="9" t="inlineStr">
        <is>
          <t>적용</t>
        </is>
      </c>
    </row>
    <row r="20">
      <c r="A20" s="4" t="inlineStr">
        <is>
          <t>자가운전보조금 비과세 적용 여부 (적용/미적용)</t>
        </is>
      </c>
      <c r="B20" s="9" t="inlineStr">
        <is>
          <t>미적용</t>
        </is>
      </c>
    </row>
    <row r="21">
      <c r="A21" s="4" t="inlineStr">
        <is>
          <t>출산·보육수당 비과세 적용 여부 (적용/미적용)</t>
        </is>
      </c>
      <c r="B21" s="9" t="inlineStr">
        <is>
          <t>미적용</t>
        </is>
      </c>
    </row>
    <row r="23">
      <c r="A23" s="2" t="inlineStr">
        <is>
          <t>④ 계산 결과 — 4대보험</t>
        </is>
      </c>
    </row>
    <row r="24">
      <c r="A24" s="4" t="inlineStr">
        <is>
          <t>월 비과세 합계</t>
        </is>
      </c>
      <c r="B24" s="10">
        <f>IF(B19="적용",B12,0)+IF(B20="적용",B13,0)+IF(B21="적용",B14,0)</f>
        <v/>
      </c>
    </row>
    <row r="25">
      <c r="A25" s="4" t="inlineStr">
        <is>
          <t>월 급여 (연봉÷12)</t>
        </is>
      </c>
      <c r="B25" s="10">
        <f>B17/12</f>
        <v/>
      </c>
    </row>
    <row r="26">
      <c r="A26" s="4" t="inlineStr">
        <is>
          <t>4대보험 산정 기준 보수월액 (월급여 − 비과세)</t>
        </is>
      </c>
      <c r="B26" s="10">
        <f>B25-B24</f>
        <v/>
      </c>
    </row>
    <row r="27">
      <c r="A27" s="4" t="inlineStr">
        <is>
          <t>국민연금 공제액</t>
        </is>
      </c>
      <c r="B27" s="10">
        <f>ROUND(B26*B5,0)</f>
        <v/>
      </c>
    </row>
    <row r="28">
      <c r="A28" s="4" t="inlineStr">
        <is>
          <t>건강보험 공제액</t>
        </is>
      </c>
      <c r="B28" s="10">
        <f>ROUND(B26*B6,0)</f>
        <v/>
      </c>
    </row>
    <row r="29">
      <c r="A29" s="4" t="inlineStr">
        <is>
          <t>장기요양보험 공제액 (건강보험×장기요양률)</t>
        </is>
      </c>
      <c r="B29" s="10">
        <f>ROUND(B28*B7,0)</f>
        <v/>
      </c>
    </row>
    <row r="30">
      <c r="A30" s="4" t="inlineStr">
        <is>
          <t>고용보험 공제액</t>
        </is>
      </c>
      <c r="B30" s="10">
        <f>ROUND(B26*B8,0)</f>
        <v/>
      </c>
    </row>
    <row r="31">
      <c r="A31" s="4" t="inlineStr">
        <is>
          <t>4대보험 공제 합계</t>
        </is>
      </c>
      <c r="B31" s="11">
        <f>B27+B28+B29+B30</f>
        <v/>
      </c>
    </row>
    <row r="33">
      <c r="A33" s="2" t="inlineStr">
        <is>
          <t>⑤ 계산 결과 — 소득세 (연간 추정, 근로소득세액공제 반영)</t>
        </is>
      </c>
    </row>
    <row r="34">
      <c r="A34" s="4" t="inlineStr">
        <is>
          <t>연간 과세대상 급여 (연봉 − 비과세×12)</t>
        </is>
      </c>
      <c r="B34" s="10">
        <f>B17-B24*12</f>
        <v/>
      </c>
    </row>
    <row r="35">
      <c r="A35" s="4" t="inlineStr">
        <is>
          <t>근로소득공제 (2024년 기준 구간별)</t>
        </is>
      </c>
      <c r="B35" s="10">
        <f>IF(B34&lt;=5000000,B34*0.7,IF(B34&lt;=15000000,3500000+(B34-5000000)*0.4,IF(B34&lt;=45000000,7500000+(B34-15000000)*0.15,IF(B34&lt;=100000000,12000000+(B34-45000000)*0.05,14750000+(B34-100000000)*0.02))))</f>
        <v/>
      </c>
    </row>
    <row r="36">
      <c r="A36" s="4" t="inlineStr">
        <is>
          <t>근로소득금액 (과세대상급여 − 근로소득공제)</t>
        </is>
      </c>
      <c r="B36" s="10">
        <f>B34-B35</f>
        <v/>
      </c>
    </row>
    <row r="37">
      <c r="A37" s="4" t="inlineStr">
        <is>
          <t>인적공제 (부양가족수×150만원)</t>
        </is>
      </c>
      <c r="B37" s="10">
        <f>B18*1500000</f>
        <v/>
      </c>
    </row>
    <row r="38">
      <c r="A38" s="4" t="inlineStr">
        <is>
          <t>표준공제 (근로자 표준세액공제용, 간소화)</t>
        </is>
      </c>
      <c r="B38" s="10">
        <f>130000</f>
        <v/>
      </c>
    </row>
    <row r="39">
      <c r="A39" s="4" t="inlineStr">
        <is>
          <t>과세표준 (근로소득금액 − 인적공제 − 표준공제, 0원 미만 불가)</t>
        </is>
      </c>
      <c r="B39" s="10">
        <f>MAX(0,B36-B37-B38)</f>
        <v/>
      </c>
    </row>
    <row r="40">
      <c r="A40" s="4" t="inlineStr">
        <is>
          <t>산출세액 (2026년 소득세 구간)</t>
        </is>
      </c>
      <c r="B40" s="10">
        <f>IF(B39&lt;=14000000,B39*0.06,IF(B39&lt;=50000000,840000+(B39-14000000)*0.15,IF(B39&lt;=88000000,6240000+(B39-50000000)*0.24,IF(B39&lt;=150000000,15360000+(B39-88000000)*0.35,37060000+(B39-150000000)*0.38))))</f>
        <v/>
      </c>
    </row>
    <row r="41">
      <c r="A41" s="4" t="inlineStr">
        <is>
          <t>근로소득세액공제 한도 (총급여 기준)</t>
        </is>
      </c>
      <c r="B41" s="10">
        <f>IF(B34&lt;=33000000,740000,IF(B34&lt;=70000000,MAX(660000,740000-(B34-33000000)*0.008),MAX(500000,660000-(B34-70000000)*0.5/1000*1000)))</f>
        <v/>
      </c>
    </row>
    <row r="42">
      <c r="A42" s="4" t="inlineStr">
        <is>
          <t>근로소득세액공제액 (산출세액 130만 이하 55%, 초과분 30%, 한도 적용)</t>
        </is>
      </c>
      <c r="B42" s="10">
        <f>MIN(B41,IF(B40&lt;=1300000,B40*0.55,1300000*0.55+(B40-1300000)*0.3))</f>
        <v/>
      </c>
    </row>
    <row r="43">
      <c r="A43" s="4" t="inlineStr">
        <is>
          <t>연간 결정세액 (근로소득세)</t>
        </is>
      </c>
      <c r="B43" s="11">
        <f>MAX(0,B40-B42)</f>
        <v/>
      </c>
    </row>
    <row r="44">
      <c r="A44" s="4" t="inlineStr">
        <is>
          <t>월 근로소득세</t>
        </is>
      </c>
      <c r="B44" s="10">
        <f>B43/12</f>
        <v/>
      </c>
    </row>
    <row r="45">
      <c r="A45" s="4" t="inlineStr">
        <is>
          <t>월 지방소득세 (근로소득세의 10%)</t>
        </is>
      </c>
      <c r="B45" s="10">
        <f>B44*0.1</f>
        <v/>
      </c>
    </row>
    <row r="47">
      <c r="A47" s="2" t="inlineStr">
        <is>
          <t>⑥ 최종 실수령액</t>
        </is>
      </c>
    </row>
    <row r="48">
      <c r="A48" s="4" t="inlineStr">
        <is>
          <t>월 실수령액 (월급여 − 4대보험 − 소득세 − 지방소득세)</t>
        </is>
      </c>
      <c r="B48" s="11">
        <f>B25-B31-B44-B45</f>
        <v/>
      </c>
    </row>
    <row r="49">
      <c r="A49" s="4" t="inlineStr">
        <is>
          <t>연 실수령액 (월 실수령액×12)</t>
        </is>
      </c>
      <c r="B49" s="11">
        <f>B48*12</f>
        <v/>
      </c>
    </row>
    <row r="50">
      <c r="A50" s="4" t="inlineStr">
        <is>
          <t>세전 연봉 대비 실수령 비율</t>
        </is>
      </c>
      <c r="B50" s="12">
        <f>B49/B17</f>
        <v/>
      </c>
    </row>
    <row r="52">
      <c r="A52" s="13" t="inlineStr">
        <is>
          <t>참고</t>
        </is>
      </c>
    </row>
    <row r="53">
      <c r="A53" s="13" t="inlineStr">
        <is>
          <t>소득세는 국세청 근로소득 간이세액표(월별 원천징수)가 아니라 연말정산 방식의 연간 추정 계산입니다. 실제 매월 원천징수액은 회사가 적용하는 간이세액표·원천징수 비율(80/100/120%)에 따라 달라질 수 있으니 4insure.or.kr·홈택스 자료와 반드시 대조하세요.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연봉 실수령액 계산기</t>
        </is>
      </c>
    </row>
    <row r="4">
      <c r="B4" s="2" t="inlineStr">
        <is>
          <t>⚠ 사용 전 꼭 읽어주세요</t>
        </is>
      </c>
    </row>
    <row r="5">
      <c r="B5" s="13" t="inlineStr">
        <is>
          <t>본 계산기는 2026년 기준 4대보험 요율과 간이 연간 소득세 추정 로직으로 월 실수령액을 계산하는 참고용 도구입니다.</t>
        </is>
      </c>
    </row>
    <row r="6">
      <c r="B6" s="13" t="inlineStr">
        <is>
          <t>회사의 급여 규정(수당 체계, 원천징수 비율 선택)에 따라 실제 지급액은 달라질 수 있습니다. (기준: 2026년 10월 확인)</t>
        </is>
      </c>
    </row>
    <row r="8">
      <c r="B8" s="2" t="inlineStr">
        <is>
          <t>사용법</t>
        </is>
      </c>
    </row>
    <row r="9">
      <c r="B9" s="13" t="inlineStr">
        <is>
          <t>① '계산기' 시트 상단 참고표에서 4대보험 요율·비과세 한도를 확인</t>
        </is>
      </c>
    </row>
    <row r="10">
      <c r="B10" s="13" t="inlineStr">
        <is>
          <t>② 노란색 칸(③ 조건 입력)에 연봉, 부양가족 수, 비과세 적용 여부를 입력</t>
        </is>
      </c>
    </row>
    <row r="11">
      <c r="B11" s="13" t="inlineStr">
        <is>
          <t>③ 올리브색 칸에서 4대보험 공제 → 소득세 추정 → 최종 월·연 실수령액까지 자동 계산</t>
        </is>
      </c>
    </row>
    <row r="12">
      <c r="B12" s="13" t="inlineStr">
        <is>
          <t>④ 다른 오퍼와 비교하려면 '오퍼비교_계산기.xlsx'에 이 결과를 그대로 옮겨 사용</t>
        </is>
      </c>
    </row>
    <row r="14">
      <c r="B14" s="13" t="inlineStr">
        <is>
          <t>실수령액은 매년 바뀌는 요율·세법에 따라 달라지는 '현재 기준 추정치'입니다. 의뢰인에게 안내할 때 항상 추정치임을 함께 전달하세요.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2026-10-03T21:22:52Z</dcterms:created>
  <dcterms:modified xmlns:dcterms="http://purl.org/dc/terms/" xmlns:xsi="http://www.w3.org/2001/XMLSchema-instance" xsi:type="dcterms:W3CDTF">2026-10-03T21:22:52Z</dcterms:modified>
</cp:coreProperties>
</file>