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기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262C3D"/>
      <sz val="13"/>
    </font>
    <font>
      <b val="1"/>
      <color rgb="00262C3D"/>
    </font>
    <font>
      <color rgb="00262C3D"/>
      <sz val="11"/>
    </font>
    <font>
      <color rgb="00262C3D"/>
    </font>
    <font>
      <b val="1"/>
      <color rgb="FFFFFFFF"/>
    </font>
    <font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  <fill>
      <patternFill patternType="solid">
        <fgColor rgb="00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3" fontId="4" fillId="2" borderId="0" pivotButton="0" quotePrefix="0" xfId="0"/>
    <xf numFmtId="0" fontId="4" fillId="2" borderId="0" pivotButton="0" quotePrefix="0" xfId="0"/>
    <xf numFmtId="3" fontId="4" fillId="3" borderId="0" pivotButton="0" quotePrefix="0" xfId="0"/>
    <xf numFmtId="2" fontId="4" fillId="3" borderId="0" pivotButton="0" quotePrefix="0" xfId="0"/>
    <xf numFmtId="3" fontId="2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4" customWidth="1" min="4" max="4"/>
  </cols>
  <sheetData>
    <row r="1">
      <c r="A1" s="1" t="inlineStr">
        <is>
          <t>퇴직금·연차수당·이직 손익 계산기</t>
        </is>
      </c>
    </row>
    <row r="3">
      <c r="A3" s="2" t="inlineStr">
        <is>
          <t>① 현재 회사 조건 입력</t>
        </is>
      </c>
    </row>
    <row r="4">
      <c r="A4" s="3" t="inlineStr">
        <is>
          <t>입사일</t>
        </is>
      </c>
      <c r="B4" s="4" t="n">
        <v>44621</v>
      </c>
    </row>
    <row r="5">
      <c r="A5" s="3" t="inlineStr">
        <is>
          <t>퇴사(예정)일</t>
        </is>
      </c>
      <c r="B5" s="4" t="n">
        <v>46356</v>
      </c>
    </row>
    <row r="6">
      <c r="A6" s="3" t="inlineStr">
        <is>
          <t>최근 3개월 평균 급여 (월, 세전)</t>
        </is>
      </c>
      <c r="B6" s="5" t="n">
        <v>4200000</v>
      </c>
    </row>
    <row r="7">
      <c r="A7" s="3" t="inlineStr">
        <is>
          <t>미사용 연차 일수</t>
        </is>
      </c>
      <c r="B7" s="6" t="n">
        <v>8</v>
      </c>
    </row>
    <row r="8">
      <c r="A8" s="3" t="inlineStr">
        <is>
          <t>1일 평균임금 (월급÷30, 수당 포함 평균임금 간이 적용)</t>
        </is>
      </c>
      <c r="B8" s="7">
        <f>B6/30</f>
        <v/>
      </c>
    </row>
    <row r="10">
      <c r="A10" s="2" t="inlineStr">
        <is>
          <t>② 퇴직금·연차수당 계산</t>
        </is>
      </c>
    </row>
    <row r="11">
      <c r="A11" s="3" t="inlineStr">
        <is>
          <t>근속연수 (일 기준, 입사일~퇴사일)</t>
        </is>
      </c>
      <c r="B11" s="8">
        <f>(B5-B4)/365</f>
        <v/>
      </c>
    </row>
    <row r="12">
      <c r="A12" s="3" t="inlineStr">
        <is>
          <t>예상 퇴직금 (1일 평균임금×30일×근속연수)</t>
        </is>
      </c>
      <c r="B12" s="9">
        <f>B8*30*B11</f>
        <v/>
      </c>
    </row>
    <row r="13">
      <c r="A13" s="3" t="inlineStr">
        <is>
          <t>미사용 연차수당 (1일 평균임금×미사용 연차일수)</t>
        </is>
      </c>
      <c r="B13" s="9">
        <f>B8*B7</f>
        <v/>
      </c>
    </row>
    <row r="14">
      <c r="A14" s="3" t="inlineStr">
        <is>
          <t>퇴사 시 정산 합계 (퇴직금+연차수당)</t>
        </is>
      </c>
      <c r="B14" s="9">
        <f>B12+B13</f>
        <v/>
      </c>
    </row>
    <row r="16">
      <c r="A16" s="2" t="inlineStr">
        <is>
          <t>③ 이직 공백기·4대보험 공백 체크</t>
        </is>
      </c>
    </row>
    <row r="17">
      <c r="A17" s="3" t="inlineStr">
        <is>
          <t>새 회사 입사(예정)일</t>
        </is>
      </c>
      <c r="B17" s="4" t="n">
        <v>46371</v>
      </c>
    </row>
    <row r="18">
      <c r="A18" s="3" t="inlineStr">
        <is>
          <t>공백 일수 (퇴사일~새 입사일)</t>
        </is>
      </c>
      <c r="B18" s="7">
        <f>B17-B5</f>
        <v/>
      </c>
    </row>
    <row r="19">
      <c r="A19" s="3" t="inlineStr">
        <is>
          <t>공백기 4대보험 공백 발생 여부</t>
        </is>
      </c>
      <c r="B19" s="10">
        <f>IF(B18&gt;0,"발생 — 건강보험 임의계속가입 또는 지역가입 전환 필요","공백 없음")</f>
        <v/>
      </c>
    </row>
    <row r="20">
      <c r="A20" s="3" t="inlineStr">
        <is>
          <t>공백기 소득 없음 기준 손실(월급 환산)</t>
        </is>
      </c>
      <c r="B20" s="7">
        <f>B6/30*B18</f>
        <v/>
      </c>
    </row>
    <row r="22">
      <c r="A22" s="2" t="inlineStr">
        <is>
          <t>④ 현재 회사 유지 vs 이직 — 단기(올해)·중기(1~2년) 비교</t>
        </is>
      </c>
    </row>
    <row r="23">
      <c r="A23" s="11" t="inlineStr">
        <is>
          <t>비교 항목</t>
        </is>
      </c>
      <c r="B23" s="11" t="inlineStr">
        <is>
          <t>현재 회사 유지</t>
        </is>
      </c>
      <c r="C23" s="11" t="inlineStr">
        <is>
          <t>이직(새 오퍼)</t>
        </is>
      </c>
    </row>
    <row r="24">
      <c r="A24" s="3" t="inlineStr">
        <is>
          <t>새 오퍼 연 확정 실수령액 (오퍼비교_계산기.xlsx 결과 입력)</t>
        </is>
      </c>
      <c r="B24" s="5" t="n">
        <v>38000000</v>
      </c>
      <c r="C24" s="5" t="n">
        <v>42000000</v>
      </c>
    </row>
    <row r="25">
      <c r="A25" s="3" t="inlineStr">
        <is>
          <t>올해(단기) 추가 — 퇴직금·연차수당 정산</t>
        </is>
      </c>
      <c r="B25" s="7">
        <f>0</f>
        <v/>
      </c>
      <c r="C25" s="7">
        <f>B14</f>
        <v/>
      </c>
    </row>
    <row r="26">
      <c r="A26" s="3" t="inlineStr">
        <is>
          <t>올해(단기) 추가 — 공백기 소득 손실</t>
        </is>
      </c>
      <c r="B26" s="7">
        <f>0</f>
        <v/>
      </c>
      <c r="C26" s="7">
        <f>-B20</f>
        <v/>
      </c>
    </row>
    <row r="27">
      <c r="A27" s="3" t="inlineStr">
        <is>
          <t>단기(올해) 총합</t>
        </is>
      </c>
      <c r="B27" s="9">
        <f>B24+B25+B26</f>
        <v/>
      </c>
      <c r="C27" s="9">
        <f>C24+C25+C26</f>
        <v/>
      </c>
    </row>
    <row r="28">
      <c r="A28" s="3" t="inlineStr">
        <is>
          <t>중기(1~2년 평균) 총합 — 정산·공백 효과 제외, 연 실수령액만</t>
        </is>
      </c>
      <c r="B28" s="9">
        <f>B24</f>
        <v/>
      </c>
      <c r="C28" s="9">
        <f>C24</f>
        <v/>
      </c>
    </row>
    <row r="29">
      <c r="A29" s="3" t="inlineStr">
        <is>
          <t>단기 기준 우위</t>
        </is>
      </c>
      <c r="B29" s="10">
        <f>IF(B27&gt;C27,"현재 회사 유지 우위",IF(B27&lt;C27,"이직 우위","동일"))</f>
        <v/>
      </c>
    </row>
    <row r="30">
      <c r="A30" s="3" t="inlineStr">
        <is>
          <t>중기 기준 우위</t>
        </is>
      </c>
      <c r="B30" s="10">
        <f>IF(B28&gt;C28,"현재 회사 유지 우위",IF(B28&lt;C28,"이직 우위","동일"))</f>
        <v/>
      </c>
    </row>
    <row r="32">
      <c r="A32" s="12" t="inlineStr">
        <is>
          <t>참고</t>
        </is>
      </c>
    </row>
    <row r="33">
      <c r="A33" s="12" t="inlineStr">
        <is>
          <t>퇴직금은 평균임금 산정 기준(상여금·성과급 포함 여부)에 따라 달라질 수 있는 간이 추정치입니다. 정확한 금액은 반드시 현재 회사 인사팀에 공식 확인하세요. 단기 비교에서 이직이 유리해 보여도 변동성과급 구조 때문에 중기 비교에서 순위가 바뀔 수 있으니 '오퍼비교_계산기.xlsx'의 중기 비교 결과와 함께 보세요.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퇴직금·연차수당·이직 손익 계산기</t>
        </is>
      </c>
    </row>
    <row r="4">
      <c r="B4" s="2" t="inlineStr">
        <is>
          <t>⚠ 사용 전 꼭 읽어주세요</t>
        </is>
      </c>
    </row>
    <row r="5">
      <c r="B5" s="12" t="inlineStr">
        <is>
          <t>현재 회사 퇴사 시 정산받을 퇴직금·연차수당과 이직 공백기까지 포함한 전체 손익을 비교하는 참고용 도구입니다.</t>
        </is>
      </c>
    </row>
    <row r="6">
      <c r="B6" s="12" t="inlineStr">
        <is>
          <t>평균임금 산정 기준은 회사마다 다를 수 있습니다. (기준: 2026년 10월 확인)</t>
        </is>
      </c>
    </row>
    <row r="8">
      <c r="B8" s="2" t="inlineStr">
        <is>
          <t>사용법</t>
        </is>
      </c>
    </row>
    <row r="9">
      <c r="B9" s="12" t="inlineStr">
        <is>
          <t>① 노란색 칸(① 현재 회사 조건)에 입사일·퇴사일·최근 3개월 평균 급여·미사용 연차를 입력</t>
        </is>
      </c>
    </row>
    <row r="10">
      <c r="B10" s="12" t="inlineStr">
        <is>
          <t>② ② 계산 결과에서 예상 퇴직금·연차수당·정산 합계가 자동 계산됨</t>
        </is>
      </c>
    </row>
    <row r="11">
      <c r="B11" s="12" t="inlineStr">
        <is>
          <t>③ ③에서 새 회사 입사일을 입력하면 공백기와 4대보험 공백 여부를 확인</t>
        </is>
      </c>
    </row>
    <row r="12">
      <c r="B12" s="12" t="inlineStr">
        <is>
          <t>④ ④에서 '연봉실수령액_계산기.xlsx' 또는 '오퍼비교_계산기.xlsx' 결과값을 B24·C24에 입력하면 단기·중기 손익 비교까지 자동 완성</t>
        </is>
      </c>
    </row>
    <row r="14">
      <c r="B14" s="12" t="inlineStr">
        <is>
          <t>이 계산기는 이직 여부를 결정해주지 않습니다. 숫자로 손익 구조를 보여주는 참고 자료로만 활용하고, 최종 결정은 의뢰인 본인의 몫으로 안내하세요.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2026-10-03T21:28:51Z</dcterms:created>
  <dcterms:modified xmlns:dcterms="http://purl.org/dc/terms/" xmlns:xsi="http://www.w3.org/2001/XMLSchema-instance" xsi:type="dcterms:W3CDTF">2026-10-03T21:28:51Z</dcterms:modified>
</cp:coreProperties>
</file>