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262C3D"/>
      <sz val="13"/>
    </font>
    <font>
      <color rgb="FF262C3D"/>
      <sz val="10"/>
    </font>
    <font>
      <color rgb="FF565F72"/>
      <sz val="9.5"/>
    </font>
    <font>
      <b val="1"/>
      <color rgb="FF262C3D"/>
      <sz val="11"/>
    </font>
    <font>
      <color rgb="FF262C3D"/>
      <sz val="11"/>
    </font>
    <font>
      <b val="1"/>
      <color rgb="FF262C3D"/>
      <sz val="12"/>
    </font>
    <font>
      <b val="1"/>
      <color rgb="FF262C3D"/>
      <sz val="10"/>
    </font>
  </fonts>
  <fills count="4">
    <fill>
      <patternFill/>
    </fill>
    <fill>
      <patternFill patternType="gray125"/>
    </fill>
    <fill>
      <patternFill patternType="solid">
        <fgColor rgb="FFFFF6D9"/>
      </patternFill>
    </fill>
    <fill>
      <patternFill patternType="solid">
        <fgColor rgb="FF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3" fontId="5" fillId="2" borderId="0" pivotButton="0" quotePrefix="0" xfId="0"/>
    <xf numFmtId="3" fontId="6" fillId="3" borderId="0" pivotButton="0" quotePrefix="0" xfId="0"/>
    <xf numFmtId="0" fontId="4" fillId="3" borderId="0" pivotButton="0" quotePrefix="0" xfId="0"/>
    <xf numFmtId="0" fontId="7" fillId="3" borderId="0" pivotButton="0" quotePrefix="0" xfId="0"/>
    <xf numFmtId="0" fontId="1" fillId="3" borderId="0" pivotButton="0" quotePrefix="0" xfId="0"/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>
      <c r="A1" s="1" t="n"/>
      <c r="B1" s="1" t="n"/>
    </row>
    <row r="2">
      <c r="A2" s="1" t="n"/>
      <c r="B2" s="2" t="inlineStr">
        <is>
          <t>피부양자 자격판정 계산기</t>
        </is>
      </c>
    </row>
    <row r="3">
      <c r="A3" s="1" t="n"/>
      <c r="B3" s="1" t="n"/>
    </row>
    <row r="4">
      <c r="A4" s="1" t="n"/>
      <c r="B4" s="3" t="inlineStr">
        <is>
          <t>연간 소득(사업·근로·연금·금융·기타)과 보유 재산세 과세표준을 입력하면, 피부양자 소득 기준(연 2,000만 원)과 재산 기준(9억 원 또는 5.4억 원+연소득 1,000만 원) 충족 여부를 각각 판정하고, 둘 중 하나라도 걸리면 지역가입자 전환 대상임을 자동으로 알려줍니다.</t>
        </is>
      </c>
    </row>
    <row r="5">
      <c r="A5" s="1" t="n"/>
      <c r="B5" s="4" t="inlineStr">
        <is>
          <t>이 계산기는 확정 심사가 아니라 참고용 추정 판정 도구입니다. 피부양자 소득·재산 기준은 2022년 9월 개편 이후 수치이며 제도 개편으로 바뀔 수 있으므로, 실제 적용 전 국민건강보험공단(nhis.or.kr) 고시로 반드시 재확인하세요.</t>
        </is>
      </c>
    </row>
    <row r="6">
      <c r="A6" s="1" t="n"/>
      <c r="B6" s="1" t="n"/>
    </row>
    <row r="7">
      <c r="A7" s="1" t="n"/>
      <c r="B7" s="5" t="inlineStr">
        <is>
          <t>사용법</t>
        </is>
      </c>
    </row>
    <row r="8">
      <c r="A8" s="1" t="n"/>
      <c r="B8" s="3" t="inlineStr">
        <is>
          <t>1. 노란색 칸(소득 5종, 재산 3종)에 값을 입력하세요. 해당 없는 항목은 0으로 두세요.</t>
        </is>
      </c>
    </row>
    <row r="9">
      <c r="A9" s="1" t="n"/>
      <c r="B9" s="3" t="inlineStr">
        <is>
          <t>2. 'A. 소득 기준 판정' 구간에서 올리브색 칸에 연간 소득 합계와 기준 충족 여부가 자동으로 뜹니다.</t>
        </is>
      </c>
    </row>
    <row r="10">
      <c r="A10" s="1" t="n"/>
      <c r="B10" s="3" t="inlineStr">
        <is>
          <t>3. 'B. 재산 기준 판정' 구간에서 재산과표 합계와 기준 충족 여부가 자동으로 뜹니다.</t>
        </is>
      </c>
    </row>
    <row r="11">
      <c r="A11" s="1" t="n"/>
      <c r="B11" s="3" t="inlineStr">
        <is>
          <t>4. 'C. 종합 판정' 구간에서 최종적으로 피부양자 유지 가능 여부(또는 지역가입자 전환 대상 여부)가 자동으로 뜹니다. '지역가입자 전환 대상'이 나오면 '지역가입자_건강보험료_계산기.xlsx'로 넘어가세요.</t>
        </is>
      </c>
    </row>
    <row r="12">
      <c r="A12" s="1" t="n"/>
      <c r="B12" s="1" t="n"/>
    </row>
    <row r="13">
      <c r="A13" s="1" t="n"/>
      <c r="B13" s="4" t="inlineStr">
        <is>
          <t>주의 — 피부양자 탈락 여부는 공단이 보유한 소득·재산 전산자료로 최종 심사합니다. 이 계산기는 신청 전 자가진단용이며, 실제 탈락 여부는 고지서나 공단 확인으로 다시 점검해야 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8" customWidth="1" min="3" max="3"/>
  </cols>
  <sheetData>
    <row r="1"/>
    <row r="2">
      <c r="B2" s="6" t="inlineStr">
        <is>
          <t>피부양자 자격판정 계산기</t>
        </is>
      </c>
    </row>
    <row r="3">
      <c r="B3" s="7" t="n"/>
    </row>
    <row r="4">
      <c r="B4" s="8" t="inlineStr">
        <is>
          <t>A. 소득 기준 판정</t>
        </is>
      </c>
    </row>
    <row r="5">
      <c r="B5" s="9" t="inlineStr">
        <is>
          <t>연간 사업소득(원)</t>
        </is>
      </c>
      <c r="C5" s="10" t="n">
        <v>18000000</v>
      </c>
    </row>
    <row r="6">
      <c r="B6" s="9" t="inlineStr">
        <is>
          <t>연간 근로소득(원)</t>
        </is>
      </c>
      <c r="C6" s="10" t="n">
        <v>0</v>
      </c>
    </row>
    <row r="7">
      <c r="B7" s="9" t="inlineStr">
        <is>
          <t>연간 연금소득(원)</t>
        </is>
      </c>
      <c r="C7" s="10" t="n">
        <v>0</v>
      </c>
    </row>
    <row r="8">
      <c r="B8" s="9" t="inlineStr">
        <is>
          <t>연간 이자·배당소득(금융소득, 원)</t>
        </is>
      </c>
      <c r="C8" s="10" t="n">
        <v>0</v>
      </c>
    </row>
    <row r="9">
      <c r="B9" s="9" t="inlineStr">
        <is>
          <t>연간 기타소득(원)</t>
        </is>
      </c>
      <c r="C9" s="10" t="n">
        <v>0</v>
      </c>
    </row>
    <row r="10">
      <c r="B10" s="9" t="inlineStr">
        <is>
          <t>연간 소득 합계(자동)</t>
        </is>
      </c>
      <c r="C10" s="11">
        <f>SUM(C5:C9)</f>
        <v/>
      </c>
    </row>
    <row r="11">
      <c r="B11" s="9" t="inlineStr">
        <is>
          <t>피부양자 소득 기준(원) — 2026년 기준, 매년 변경 가능</t>
        </is>
      </c>
      <c r="C11" s="10" t="n">
        <v>20000000</v>
      </c>
    </row>
    <row r="12">
      <c r="B12" s="9" t="inlineStr">
        <is>
          <t>소득 기준 판정(자동)</t>
        </is>
      </c>
      <c r="C12" s="12">
        <f>IF(C10&gt;C11,"초과(탈락 요건)","충족(유지 가능)")</f>
        <v/>
      </c>
    </row>
    <row r="13">
      <c r="B13" s="7" t="n"/>
    </row>
    <row r="14">
      <c r="B14" s="8" t="inlineStr">
        <is>
          <t>B. 재산 기준 판정</t>
        </is>
      </c>
    </row>
    <row r="15">
      <c r="B15" s="9" t="inlineStr">
        <is>
          <t>보유 주택 재산세 과세표준(원)</t>
        </is>
      </c>
      <c r="C15" s="10" t="n">
        <v>200000000</v>
      </c>
    </row>
    <row r="16">
      <c r="B16" s="9" t="inlineStr">
        <is>
          <t>보유 토지 재산세 과세표준(원)</t>
        </is>
      </c>
      <c r="C16" s="10" t="n">
        <v>0</v>
      </c>
    </row>
    <row r="17">
      <c r="B17" s="9" t="inlineStr">
        <is>
          <t>기타 재산(건축물 등) 과세표준(원)</t>
        </is>
      </c>
      <c r="C17" s="10" t="n">
        <v>0</v>
      </c>
    </row>
    <row r="18">
      <c r="B18" s="9" t="inlineStr">
        <is>
          <t>재산세 과세표준 합계(자동)</t>
        </is>
      </c>
      <c r="C18" s="11">
        <f>SUM(C15:C17)</f>
        <v/>
      </c>
    </row>
    <row r="19">
      <c r="B19" s="9" t="inlineStr">
        <is>
          <t>재산 기준 1 — 과표 9억 원 초과 시 즉시 탈락</t>
        </is>
      </c>
      <c r="C19" s="10" t="n">
        <v>900000000</v>
      </c>
    </row>
    <row r="20">
      <c r="B20" s="9" t="inlineStr">
        <is>
          <t>재산 기준 2 — 과표 5.4억 원 초과 기준</t>
        </is>
      </c>
      <c r="C20" s="10" t="n">
        <v>540000000</v>
      </c>
    </row>
    <row r="21">
      <c r="B21" s="9" t="inlineStr">
        <is>
          <t>재산 기준 2의 부가 소득 기준(원)</t>
        </is>
      </c>
      <c r="C21" s="10" t="n">
        <v>10000000</v>
      </c>
    </row>
    <row r="22">
      <c r="B22" s="9" t="inlineStr">
        <is>
          <t>재산 기준 판정(자동)</t>
        </is>
      </c>
      <c r="C22" s="12">
        <f>IF(C18&gt;C19,"초과(탈락 요건)",IF(AND(C18&gt;C20,C10&gt;C21),"초과(탈락 요건)","충족(유지 가능)"))</f>
        <v/>
      </c>
    </row>
    <row r="23">
      <c r="B23" s="7" t="n"/>
    </row>
    <row r="24">
      <c r="B24" s="8" t="inlineStr">
        <is>
          <t>C. 종합 판정</t>
        </is>
      </c>
    </row>
    <row r="25">
      <c r="B25" s="9" t="inlineStr">
        <is>
          <t>소득 기준 판정(참조)</t>
        </is>
      </c>
      <c r="C25" s="13">
        <f>C12</f>
        <v/>
      </c>
    </row>
    <row r="26">
      <c r="B26" s="9" t="inlineStr">
        <is>
          <t>재산 기준 판정(참조)</t>
        </is>
      </c>
      <c r="C26" s="13">
        <f>C22</f>
        <v/>
      </c>
    </row>
    <row r="27">
      <c r="B27" s="9" t="inlineStr">
        <is>
          <t>최종 판정(자동)</t>
        </is>
      </c>
      <c r="C27" s="14">
        <f>IF(OR(C12="초과(탈락 요건)",C22="초과(탈락 요건)"),"지역가입자 전환 대상","피부양자 유지 가능")</f>
        <v/>
      </c>
    </row>
    <row r="28">
      <c r="B28" s="7" t="n"/>
    </row>
    <row r="29" ht="30" customHeight="1">
      <c r="B29" s="15" t="inlineStr">
        <is>
          <t>참고 — 소득·재산 기준 중 하나라도 걸리면 지역가입자로 전환됩니다. '지역가입자 전환 대상'이 나오면 '지역가입자_건강보험료_계산기.xlsx'로 넘어가 월 보험료를 계산하세요.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2026-10-23T21:10:12Z</dcterms:created>
  <dcterms:modified xmlns:dcterms="http://purl.org/dc/terms/" xmlns:xsi="http://www.w3.org/2001/XMLSchema-instance" xsi:type="dcterms:W3CDTF">2026-10-23T21:10:12Z</dcterms:modified>
</cp:coreProperties>
</file>