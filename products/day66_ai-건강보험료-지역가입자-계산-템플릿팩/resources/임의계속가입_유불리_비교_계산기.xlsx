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개월&quot;"/>
    <numFmt numFmtId="165" formatCode="yyyy-mm-dd h:mm:ss"/>
    <numFmt numFmtId="166" formatCode="yyyy-mm-dd"/>
    <numFmt numFmtId="167" formatCode="0&quot;일&quot;"/>
  </numFmts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color rgb="FF262C3D"/>
      <sz val="11"/>
    </font>
    <font>
      <b val="1"/>
      <color rgb="FF262C3D"/>
      <sz val="12"/>
    </font>
    <font>
      <b val="1"/>
      <color rgb="FF262C3D"/>
      <sz val="10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0" pivotButton="0" quotePrefix="0" xfId="0"/>
    <xf numFmtId="0" fontId="6" fillId="3" borderId="0" pivotButton="0" quotePrefix="0" xfId="0"/>
    <xf numFmtId="3" fontId="5" fillId="2" borderId="0" pivotButton="0" quotePrefix="0" xfId="0"/>
    <xf numFmtId="3" fontId="4" fillId="3" borderId="0" pivotButton="0" quotePrefix="0" xfId="0"/>
    <xf numFmtId="166" fontId="5" fillId="2" borderId="0" pivotButton="0" quotePrefix="0" xfId="0"/>
    <xf numFmtId="166" fontId="7" fillId="3" borderId="0" pivotButton="0" quotePrefix="0" xfId="0"/>
    <xf numFmtId="167" fontId="7" fillId="3" borderId="0" pivotButton="0" quotePrefix="0" xfId="0"/>
    <xf numFmtId="0" fontId="4" fillId="3" borderId="0" pivotButton="0" quotePrefix="0" xfId="0"/>
    <xf numFmtId="166" fontId="6" fillId="3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A1" s="1" t="n"/>
      <c r="B1" s="1" t="n"/>
    </row>
    <row r="2">
      <c r="A2" s="1" t="n"/>
      <c r="B2" s="2" t="inlineStr">
        <is>
          <t>임의계속가입 유불리 비교 계산기</t>
        </is>
      </c>
    </row>
    <row r="3">
      <c r="A3" s="1" t="n"/>
      <c r="B3" s="1" t="n"/>
    </row>
    <row r="4">
      <c r="A4" s="1" t="n"/>
      <c r="B4" s="3" t="inlineStr">
        <is>
          <t>퇴사 전 재직 이력을 입력하면 임의계속가입 신청 자격을 판정하고, 퇴사 직전 직장가입자 보험료와 지역가입자 전환 시 예상 보험료를 비교해 어느 쪽이 유리한지 보여줍니다. 지역가입자 전환 후 최초 고지서 납부기한을 입력하면 신청기한 D-day와 최대 유지 가능 기간(36개월)까지 자동으로 계산합니다.</t>
        </is>
      </c>
    </row>
    <row r="5">
      <c r="A5" s="1" t="n"/>
      <c r="B5" s="4" t="inlineStr">
        <is>
          <t>이 계산기는 참고용 추정 도구입니다. 임의계속가입 신청 자격·기한·유지기간은 국민건강보험법 제110조 및 시행규칙에 따른 것으로, 실제 적용 전 국민건강보험공단(nhis.or.kr) 또는 1577-1000으로 반드시 재확인하세요.</t>
        </is>
      </c>
    </row>
    <row r="6">
      <c r="A6" s="1" t="n"/>
      <c r="B6" s="1" t="n"/>
    </row>
    <row r="7">
      <c r="A7" s="1" t="n"/>
      <c r="B7" s="5" t="inlineStr">
        <is>
          <t>사용법</t>
        </is>
      </c>
    </row>
    <row r="8">
      <c r="A8" s="1" t="n"/>
      <c r="B8" s="3" t="inlineStr">
        <is>
          <t>1. 'A. 신청 자격 판정' 구간에 퇴직일 이전 18개월 중 직장가입자로 보험료를 낸 기간(개월)을 입력하면 자격 충족 여부가 자동으로 뜹니다.</t>
        </is>
      </c>
    </row>
    <row r="9">
      <c r="A9" s="1" t="n"/>
      <c r="B9" s="3" t="inlineStr">
        <is>
          <t>2. 'B. 보험료 비교' 구간에 퇴사 직전 월 보험료(본인부담분)와 '지역가입자_건강보험료_계산기.xlsx'에서 구한 지역가입자 예상 보험료를 입력하면 유리한 쪽이 자동으로 뜹니다.</t>
        </is>
      </c>
    </row>
    <row r="10">
      <c r="A10" s="1" t="n"/>
      <c r="B10" s="3" t="inlineStr">
        <is>
          <t>3. 'C. 신청 기한 계산' 구간에 지역가입자 전환 후 최초 고지서 납부기한을 입력하면 신청기한과 D-day가 자동으로 뜹니다.</t>
        </is>
      </c>
    </row>
    <row r="11">
      <c r="A11" s="1" t="n"/>
      <c r="B11" s="3" t="inlineStr">
        <is>
          <t>4. 'D. 유지 가능 기간' 구간에 임의계속가입 자격 취득일(직장가입자 자격 상실일 다음날)을 입력하면 최대 유지 만료 예상일이 자동으로 뜹니다.</t>
        </is>
      </c>
    </row>
    <row r="12">
      <c r="A12" s="1" t="n"/>
      <c r="B12" s="1" t="n"/>
    </row>
    <row r="13">
      <c r="A13" s="1" t="n"/>
      <c r="B13" s="4" t="inlineStr">
        <is>
          <t>주의 — 신청기한은 퇴직일이 아니라 '지역가입자로서 최초로 고지받은 보험료의 납부기한으로부터 2개월 이내'입니다. 퇴직일 기준으로 계산해 기한을 놓치는 경우가 많으니 반드시 고지서의 납부기한을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</cols>
  <sheetData>
    <row r="2">
      <c r="B2" s="6" t="inlineStr">
        <is>
          <t>임의계속가입 유불리 비교 계산기</t>
        </is>
      </c>
    </row>
    <row r="4">
      <c r="B4" s="7" t="inlineStr">
        <is>
          <t>A. 신청 자격 판정</t>
        </is>
      </c>
    </row>
    <row r="5">
      <c r="B5" s="8" t="inlineStr">
        <is>
          <t>퇴직일 이전 18개월 중 직장가입자 보험료 납부 기간 합계(개월)</t>
        </is>
      </c>
      <c r="C5" s="9" t="n">
        <v>14</v>
      </c>
    </row>
    <row r="6">
      <c r="B6" s="8" t="inlineStr">
        <is>
          <t>자격 기준(통산 12개월 = 1년)</t>
        </is>
      </c>
      <c r="C6" s="9" t="n">
        <v>12</v>
      </c>
    </row>
    <row r="7">
      <c r="B7" s="8" t="inlineStr">
        <is>
          <t>신청 자격 판정(자동)</t>
        </is>
      </c>
      <c r="C7" s="10">
        <f>IF(C5&gt;=C6,"자격 충족","자격 미충족")</f>
        <v/>
      </c>
    </row>
    <row r="9">
      <c r="B9" s="7" t="inlineStr">
        <is>
          <t>B. 월 보험료 비교</t>
        </is>
      </c>
    </row>
    <row r="10">
      <c r="B10" s="8" t="inlineStr">
        <is>
          <t>퇴사 직전 월 직장가입자 보험료(본인부담분, 원)</t>
        </is>
      </c>
      <c r="C10" s="11" t="n">
        <v>135000</v>
      </c>
    </row>
    <row r="11">
      <c r="B11" s="8" t="inlineStr">
        <is>
          <t>지역가입자 전환 시 예상 월 보험료(원) — 다른 계산기 결과값 입력</t>
        </is>
      </c>
      <c r="C11" s="11" t="n">
        <v>348511</v>
      </c>
    </row>
    <row r="12">
      <c r="B12" s="8" t="inlineStr">
        <is>
          <t>월 차액(자동, 지역가입자-직장가입자)</t>
        </is>
      </c>
      <c r="C12" s="12">
        <f>C11-C10</f>
        <v/>
      </c>
    </row>
    <row r="13">
      <c r="B13" s="8" t="inlineStr">
        <is>
          <t>유리한 쪽(자동)</t>
        </is>
      </c>
      <c r="C13" s="10">
        <f>IF(C7="자격 미충족","자격 미충족(해당 없음)",IF(C12&gt;0,"임의계속가입이 유리","지역가입자가 유리 또는 동일"))</f>
        <v/>
      </c>
    </row>
    <row r="14">
      <c r="B14" s="8" t="inlineStr">
        <is>
          <t>36개월간 예상 절감액(자동, 차액이 양수일 때만 의미 있음)</t>
        </is>
      </c>
      <c r="C14" s="12">
        <f>MAX(C12,0)*36</f>
        <v/>
      </c>
    </row>
    <row r="16">
      <c r="B16" s="7" t="inlineStr">
        <is>
          <t>C. 신청 기한 계산</t>
        </is>
      </c>
    </row>
    <row r="17">
      <c r="B17" s="8" t="inlineStr">
        <is>
          <t>지역가입자 전환 후 최초 고지서 납부기한</t>
        </is>
      </c>
      <c r="C17" s="13" t="n">
        <v>46381</v>
      </c>
    </row>
    <row r="18">
      <c r="B18" s="8" t="inlineStr">
        <is>
          <t>임의계속가입 신청기한(자동, 납부기한+2개월)</t>
        </is>
      </c>
      <c r="C18" s="14">
        <f>EDATE(C17,2)</f>
        <v/>
      </c>
    </row>
    <row r="19">
      <c r="B19" s="8" t="inlineStr">
        <is>
          <t>오늘 날짜(자동)</t>
        </is>
      </c>
      <c r="C19" s="14">
        <f>TODAY()</f>
        <v/>
      </c>
    </row>
    <row r="20">
      <c r="B20" s="8" t="inlineStr">
        <is>
          <t>D-day(자동, 신청기한까지 남은 일수)</t>
        </is>
      </c>
      <c r="C20" s="15">
        <f>C18-C19</f>
        <v/>
      </c>
    </row>
    <row r="21">
      <c r="B21" s="8" t="inlineStr">
        <is>
          <t>상태(자동)</t>
        </is>
      </c>
      <c r="C21" s="16">
        <f>IF(C20&lt;=0,"신청기한 만료",IF(C20&lt;=14,"마감 임박 — 서둘러 신청","신청 가능"))</f>
        <v/>
      </c>
    </row>
    <row r="23">
      <c r="B23" s="7" t="inlineStr">
        <is>
          <t>D. 유지 가능 기간 안내</t>
        </is>
      </c>
    </row>
    <row r="24">
      <c r="B24" s="8" t="inlineStr">
        <is>
          <t>임의계속가입 자격 취득일(직장가입자 자격 상실일 다음날)</t>
        </is>
      </c>
      <c r="C24" s="13" t="n">
        <v>46357</v>
      </c>
    </row>
    <row r="25">
      <c r="B25" s="8" t="inlineStr">
        <is>
          <t>최대 유지 가능 기간(개월, 연장 불가)</t>
        </is>
      </c>
      <c r="C25" s="9" t="n">
        <v>36</v>
      </c>
    </row>
    <row r="26">
      <c r="B26" s="8" t="inlineStr">
        <is>
          <t>유지 만료 예상일(자동)</t>
        </is>
      </c>
      <c r="C26" s="17">
        <f>EDATE(C24,C25)-1</f>
        <v/>
      </c>
    </row>
    <row r="28" ht="30" customHeight="1">
      <c r="B28" s="18" t="inlineStr">
        <is>
          <t>참고 — 임의계속가입 중 재취업으로 직장가입자 자격을 다시 얻으면 제도는 자동으로 종료됩니다. 최초 고지된 보험료를 납부기한부터 2개월 넘게 미납하면 자격이 상실될 수 있으니 첫 납부를 놓치지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2026-10-23T21:19:44Z</dcterms:created>
  <dcterms:modified xmlns:dcterms="http://purl.org/dc/terms/" xmlns:xsi="http://www.w3.org/2001/XMLSchema-instance" xsi:type="dcterms:W3CDTF">2026-10-23T21:19:44Z</dcterms:modified>
</cp:coreProperties>
</file>