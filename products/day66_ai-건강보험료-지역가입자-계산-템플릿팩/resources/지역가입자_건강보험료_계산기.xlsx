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점수표" sheetId="2" state="visible" r:id="rId2"/>
    <sheet xmlns:r="http://schemas.openxmlformats.org/officeDocument/2006/relationships" name="계산기"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FF262C3D"/>
      <sz val="13"/>
    </font>
    <font>
      <color rgb="FF262C3D"/>
      <sz val="10"/>
    </font>
    <font>
      <color rgb="FF565F72"/>
      <sz val="9.5"/>
    </font>
    <font>
      <b val="1"/>
      <color rgb="FF262C3D"/>
      <sz val="11"/>
    </font>
    <font>
      <b val="1"/>
      <color rgb="FFFFFFFF"/>
      <sz val="10"/>
    </font>
    <font>
      <color rgb="FF262C3D"/>
      <sz val="11"/>
    </font>
    <font>
      <b val="1"/>
      <color rgb="FF262C3D"/>
      <sz val="10"/>
    </font>
    <font>
      <b val="1"/>
      <color rgb="FF262C3D"/>
      <sz val="12"/>
    </font>
  </fonts>
  <fills count="5">
    <fill>
      <patternFill/>
    </fill>
    <fill>
      <patternFill patternType="gray125"/>
    </fill>
    <fill>
      <patternFill patternType="solid">
        <fgColor rgb="FFB87F1F"/>
      </patternFill>
    </fill>
    <fill>
      <patternFill patternType="solid">
        <fgColor rgb="FFFFF6D9"/>
      </patternFill>
    </fill>
    <fill>
      <patternFill patternType="solid">
        <fgColor rgb="FFE3E6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2" fillId="0" borderId="0" pivotButton="0" quotePrefix="0" xfId="0"/>
    <xf numFmtId="3" fontId="2" fillId="0" borderId="0" pivotButton="0" quotePrefix="0" xfId="0"/>
    <xf numFmtId="0" fontId="1" fillId="0" borderId="0" pivotButton="0" quotePrefix="0" xfId="0"/>
    <xf numFmtId="0" fontId="4" fillId="0" borderId="0" pivotButton="0" quotePrefix="0" xfId="0"/>
    <xf numFmtId="0" fontId="6" fillId="0" borderId="0" pivotButton="0" quotePrefix="0" xfId="0"/>
    <xf numFmtId="3" fontId="6" fillId="3" borderId="0" pivotButton="0" quotePrefix="0" xfId="0"/>
    <xf numFmtId="3" fontId="7" fillId="4" borderId="0" pivotButton="0" quotePrefix="0" xfId="0"/>
    <xf numFmtId="10" fontId="6" fillId="3" borderId="0" pivotButton="0" quotePrefix="0" xfId="0"/>
    <xf numFmtId="3" fontId="8" fillId="4" borderId="0" pivotButton="0" quotePrefix="0" xfId="0"/>
    <xf numFmtId="3" fontId="4" fillId="4" borderId="0" pivotButton="0" quotePrefix="0" xfId="0"/>
    <xf numFmtId="1" fontId="4" fillId="4" borderId="0" pivotButton="0" quotePrefix="0" xfId="0"/>
    <xf numFmtId="164" fontId="6" fillId="3" borderId="0" pivotButton="0" quotePrefix="0" xfId="0"/>
    <xf numFmtId="3" fontId="1" fillId="4"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 customWidth="1" min="1" max="1"/>
    <col width="110" customWidth="1" min="2" max="2"/>
  </cols>
  <sheetData>
    <row r="1">
      <c r="A1" s="1" t="n"/>
      <c r="B1" s="1" t="n"/>
    </row>
    <row r="2">
      <c r="A2" s="1" t="n"/>
      <c r="B2" s="2" t="inlineStr">
        <is>
          <t>지역가입자 건강보험료 계산기</t>
        </is>
      </c>
    </row>
    <row r="3">
      <c r="A3" s="1" t="n"/>
      <c r="B3" s="1" t="n"/>
    </row>
    <row r="4">
      <c r="A4" s="1" t="n"/>
      <c r="B4" s="3" t="inlineStr">
        <is>
          <t>종합소득과 재산세 과세표준을 입력하면 소득보험료(소득×7.19%)와 재산보험료(과세표준에서 1억 원 공제 후 재산등급별 점수제)를 각각 계산하고, 장기요양보험료(약 12.95%)를 더한 뒤 2026년 기준 월 상한액(4,591,740원)·하한액(20,160원)과 비교한 최종 월 납부액까지 자동으로 계산합니다.</t>
        </is>
      </c>
    </row>
    <row r="5">
      <c r="A5" s="1" t="n"/>
      <c r="B5" s="4" t="inlineStr">
        <is>
          <t>이 계산기는 확정 보험료가 아니라 참고용 추정 계산 도구입니다. 재산등급별 점수표는 국민건강보험공단 고시 구간표를 기준으로 작성했으나 일부 구간(특히 중간 구간)은 공개 자료를 바탕으로 재구성한 근사값이므로, 실제 적용 전에는 반드시 국민건강보험공단(nhis.or.kr)의 '지역보험료 모의계산'으로 재확인하세요.</t>
        </is>
      </c>
    </row>
    <row r="6">
      <c r="A6" s="1" t="n"/>
      <c r="B6" s="1" t="n"/>
    </row>
    <row r="7">
      <c r="A7" s="1" t="n"/>
      <c r="B7" s="5" t="inlineStr">
        <is>
          <t>사용법</t>
        </is>
      </c>
    </row>
    <row r="8">
      <c r="A8" s="1" t="n"/>
      <c r="B8" s="3" t="inlineStr">
        <is>
          <t>1. 'A. 소득보험료' 구간의 노란색 칸에 연간 종합소득을 입력하면 올리브색 칸에 월 소득보험료가 자동으로 뜹니다.</t>
        </is>
      </c>
    </row>
    <row r="9">
      <c r="A9" s="1" t="n"/>
      <c r="B9" s="3" t="inlineStr">
        <is>
          <t>2. 'B. 재산보험료' 구간에 재산세 과세표준 합계를 입력하면 1억 원 공제 후 재산등급표(점수표 시트)를 참조해 월 재산보험료가 자동으로 뜹니다.</t>
        </is>
      </c>
    </row>
    <row r="10">
      <c r="A10" s="1" t="n"/>
      <c r="B10" s="3" t="inlineStr">
        <is>
          <t>3. 'C. 장기요양보험료' 구간에서 소득보험료+재산보험료에 장기요양보험료율을 적용한 금액이 자동으로 뜹니다.</t>
        </is>
      </c>
    </row>
    <row r="11">
      <c r="A11" s="1" t="n"/>
      <c r="B11" s="3" t="inlineStr">
        <is>
          <t>4. 'D. 최종 확정' 구간에서 상한·하한액을 적용한 최종 월 납부액이 자동으로 뜹니다. 이 값을 '임의계속가입_유불리_비교_계산기.xlsx'의 지역가입자 예상 보험료 칸에 그대로 입력하세요.</t>
        </is>
      </c>
    </row>
    <row r="12">
      <c r="A12" s="1" t="n"/>
      <c r="B12" s="1" t="n"/>
    </row>
    <row r="13">
      <c r="A13" s="1" t="n"/>
      <c r="B13" s="4" t="inlineStr">
        <is>
          <t>주의 — 보험료율(7.19%), 장기요양보험료율(약 12.95%), 점수당 금액(211.5원), 상한·하한액은 공단 고시로 매년(또는 수시) 바뀝니다. 신규 의뢰가 들어올 때마다 nhis.or.kr 공지로 재확인하세요.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cols>
    <col width="20" customWidth="1" min="1" max="1"/>
    <col width="24" customWidth="1" min="2" max="2"/>
    <col width="10" customWidth="1" min="3" max="3"/>
  </cols>
  <sheetData>
    <row r="1">
      <c r="A1" s="6" t="inlineStr">
        <is>
          <t>등급</t>
        </is>
      </c>
      <c r="B1" s="6" t="inlineStr">
        <is>
          <t>구간 하한(원, 이 값 이상)</t>
        </is>
      </c>
      <c r="C1" s="6" t="inlineStr">
        <is>
          <t>점수</t>
        </is>
      </c>
    </row>
    <row r="2">
      <c r="A2" s="7" t="n">
        <v>1</v>
      </c>
      <c r="B2" s="8" t="n">
        <v>0</v>
      </c>
      <c r="C2" s="7" t="n">
        <v>22</v>
      </c>
    </row>
    <row r="3">
      <c r="A3" s="7" t="n">
        <v>2</v>
      </c>
      <c r="B3" s="8" t="n">
        <v>4500000</v>
      </c>
      <c r="C3" s="7" t="n">
        <v>44</v>
      </c>
    </row>
    <row r="4">
      <c r="A4" s="7" t="n">
        <v>3</v>
      </c>
      <c r="B4" s="8" t="n">
        <v>9000000</v>
      </c>
      <c r="C4" s="7" t="n">
        <v>66</v>
      </c>
    </row>
    <row r="5">
      <c r="A5" s="7" t="n">
        <v>4</v>
      </c>
      <c r="B5" s="8" t="n">
        <v>13500000</v>
      </c>
      <c r="C5" s="7" t="n">
        <v>97</v>
      </c>
    </row>
    <row r="6">
      <c r="A6" s="7" t="n">
        <v>5</v>
      </c>
      <c r="B6" s="8" t="n">
        <v>18000000</v>
      </c>
      <c r="C6" s="7" t="n">
        <v>122</v>
      </c>
    </row>
    <row r="7">
      <c r="A7" s="7" t="n">
        <v>6</v>
      </c>
      <c r="B7" s="8" t="n">
        <v>22500000</v>
      </c>
      <c r="C7" s="7" t="n">
        <v>146</v>
      </c>
    </row>
    <row r="8">
      <c r="A8" s="7" t="n">
        <v>7</v>
      </c>
      <c r="B8" s="8" t="n">
        <v>27000000</v>
      </c>
      <c r="C8" s="7" t="n">
        <v>171</v>
      </c>
    </row>
    <row r="9">
      <c r="A9" s="7" t="n">
        <v>8</v>
      </c>
      <c r="B9" s="8" t="n">
        <v>31500000</v>
      </c>
      <c r="C9" s="7" t="n">
        <v>195</v>
      </c>
    </row>
    <row r="10">
      <c r="A10" s="7" t="n">
        <v>9</v>
      </c>
      <c r="B10" s="8" t="n">
        <v>36000000</v>
      </c>
      <c r="C10" s="7" t="n">
        <v>219</v>
      </c>
    </row>
    <row r="11">
      <c r="A11" s="7" t="n">
        <v>10</v>
      </c>
      <c r="B11" s="8" t="n">
        <v>40500000</v>
      </c>
      <c r="C11" s="7" t="n">
        <v>244</v>
      </c>
    </row>
    <row r="12">
      <c r="A12" s="7" t="n">
        <v>11</v>
      </c>
      <c r="B12" s="8" t="n">
        <v>45200000</v>
      </c>
      <c r="C12" s="7" t="n">
        <v>268</v>
      </c>
    </row>
    <row r="13">
      <c r="A13" s="7" t="n">
        <v>12</v>
      </c>
      <c r="B13" s="8" t="n">
        <v>50200000</v>
      </c>
      <c r="C13" s="7" t="n">
        <v>294</v>
      </c>
    </row>
    <row r="14">
      <c r="A14" s="7" t="n">
        <v>13</v>
      </c>
      <c r="B14" s="8" t="n">
        <v>55900000</v>
      </c>
      <c r="C14" s="7" t="n">
        <v>320</v>
      </c>
    </row>
    <row r="15">
      <c r="A15" s="7" t="n">
        <v>14</v>
      </c>
      <c r="B15" s="8" t="n">
        <v>62200000</v>
      </c>
      <c r="C15" s="7" t="n">
        <v>344</v>
      </c>
    </row>
    <row r="16">
      <c r="A16" s="7" t="n">
        <v>15</v>
      </c>
      <c r="B16" s="8" t="n">
        <v>69300000</v>
      </c>
      <c r="C16" s="7" t="n">
        <v>365</v>
      </c>
    </row>
    <row r="17">
      <c r="A17" s="7" t="n">
        <v>16</v>
      </c>
      <c r="B17" s="8" t="n">
        <v>77100000</v>
      </c>
      <c r="C17" s="7" t="n">
        <v>386</v>
      </c>
    </row>
    <row r="18">
      <c r="A18" s="7" t="n">
        <v>17</v>
      </c>
      <c r="B18" s="8" t="n">
        <v>85900000</v>
      </c>
      <c r="C18" s="7" t="n">
        <v>412</v>
      </c>
    </row>
    <row r="19">
      <c r="A19" s="7" t="n">
        <v>18</v>
      </c>
      <c r="B19" s="8" t="n">
        <v>95700000</v>
      </c>
      <c r="C19" s="7" t="n">
        <v>439</v>
      </c>
    </row>
    <row r="20">
      <c r="A20" s="7" t="n">
        <v>19</v>
      </c>
      <c r="B20" s="8" t="n">
        <v>107000000</v>
      </c>
      <c r="C20" s="7" t="n">
        <v>465</v>
      </c>
    </row>
    <row r="21">
      <c r="A21" s="7" t="n">
        <v>20</v>
      </c>
      <c r="B21" s="8" t="n">
        <v>119000000</v>
      </c>
      <c r="C21" s="7" t="n">
        <v>490</v>
      </c>
    </row>
    <row r="22">
      <c r="A22" s="7" t="n">
        <v>21</v>
      </c>
      <c r="B22" s="8" t="n">
        <v>133000000</v>
      </c>
      <c r="C22" s="7" t="n">
        <v>516</v>
      </c>
    </row>
    <row r="23">
      <c r="A23" s="7" t="n">
        <v>22</v>
      </c>
      <c r="B23" s="8" t="n">
        <v>148000000</v>
      </c>
      <c r="C23" s="7" t="n">
        <v>535</v>
      </c>
    </row>
    <row r="24">
      <c r="A24" s="7" t="n">
        <v>23</v>
      </c>
      <c r="B24" s="8" t="n">
        <v>164000000</v>
      </c>
      <c r="C24" s="7" t="n">
        <v>560</v>
      </c>
    </row>
    <row r="25">
      <c r="A25" s="7" t="n">
        <v>24</v>
      </c>
      <c r="B25" s="8" t="n">
        <v>180400000</v>
      </c>
      <c r="C25" s="7" t="n">
        <v>584</v>
      </c>
    </row>
    <row r="26">
      <c r="A26" s="7" t="n">
        <v>25</v>
      </c>
      <c r="B26" s="8" t="n">
        <v>198400000</v>
      </c>
      <c r="C26" s="7" t="n">
        <v>609</v>
      </c>
    </row>
    <row r="27">
      <c r="A27" s="7" t="n">
        <v>26</v>
      </c>
      <c r="B27" s="8" t="n">
        <v>218300000</v>
      </c>
      <c r="C27" s="7" t="n">
        <v>633</v>
      </c>
    </row>
    <row r="28">
      <c r="A28" s="7" t="n">
        <v>27</v>
      </c>
      <c r="B28" s="8" t="n">
        <v>240100000</v>
      </c>
      <c r="C28" s="7" t="n">
        <v>658</v>
      </c>
    </row>
    <row r="29">
      <c r="A29" s="7" t="n">
        <v>28</v>
      </c>
      <c r="B29" s="8" t="n">
        <v>264100000</v>
      </c>
      <c r="C29" s="7" t="n">
        <v>682</v>
      </c>
    </row>
    <row r="30">
      <c r="A30" s="7" t="n">
        <v>29</v>
      </c>
      <c r="B30" s="8" t="n">
        <v>290500000</v>
      </c>
      <c r="C30" s="7" t="n">
        <v>707</v>
      </c>
    </row>
    <row r="31">
      <c r="A31" s="7" t="n">
        <v>30</v>
      </c>
      <c r="B31" s="8" t="n">
        <v>319600000</v>
      </c>
      <c r="C31" s="7" t="n">
        <v>731</v>
      </c>
    </row>
    <row r="32">
      <c r="A32" s="7" t="n">
        <v>31</v>
      </c>
      <c r="B32" s="8" t="n">
        <v>388000000</v>
      </c>
      <c r="C32" s="7" t="n">
        <v>757</v>
      </c>
    </row>
    <row r="33">
      <c r="A33" s="7" t="n">
        <v>32</v>
      </c>
      <c r="B33" s="8" t="n">
        <v>432000000</v>
      </c>
      <c r="C33" s="7" t="n">
        <v>785</v>
      </c>
    </row>
    <row r="34">
      <c r="A34" s="7" t="n">
        <v>33</v>
      </c>
      <c r="B34" s="8" t="n">
        <v>481000000</v>
      </c>
      <c r="C34" s="7" t="n">
        <v>812</v>
      </c>
    </row>
    <row r="35">
      <c r="A35" s="7" t="n">
        <v>34</v>
      </c>
      <c r="B35" s="8" t="n">
        <v>536000000</v>
      </c>
      <c r="C35" s="7" t="n">
        <v>841</v>
      </c>
    </row>
    <row r="36">
      <c r="A36" s="7" t="n">
        <v>35</v>
      </c>
      <c r="B36" s="8" t="n">
        <v>597000000</v>
      </c>
      <c r="C36" s="7" t="n">
        <v>881</v>
      </c>
    </row>
    <row r="37">
      <c r="A37" s="7" t="n">
        <v>36</v>
      </c>
      <c r="B37" s="8" t="n">
        <v>665000000</v>
      </c>
      <c r="C37" s="7" t="n">
        <v>921</v>
      </c>
    </row>
    <row r="38">
      <c r="A38" s="7" t="n">
        <v>37</v>
      </c>
      <c r="B38" s="8" t="n">
        <v>740000000</v>
      </c>
      <c r="C38" s="7" t="n">
        <v>961</v>
      </c>
    </row>
    <row r="39">
      <c r="A39" s="7" t="n">
        <v>38</v>
      </c>
      <c r="B39" s="8" t="n">
        <v>824000000</v>
      </c>
      <c r="C39" s="7" t="n">
        <v>1001</v>
      </c>
    </row>
    <row r="40">
      <c r="A40" s="7" t="n">
        <v>39</v>
      </c>
      <c r="B40" s="8" t="n">
        <v>918000000</v>
      </c>
      <c r="C40" s="7" t="n">
        <v>1041</v>
      </c>
    </row>
    <row r="41">
      <c r="A41" s="7" t="n">
        <v>40</v>
      </c>
      <c r="B41" s="8" t="n">
        <v>1030000000</v>
      </c>
      <c r="C41" s="7" t="n">
        <v>1091</v>
      </c>
    </row>
    <row r="42">
      <c r="A42" s="7" t="n">
        <v>41</v>
      </c>
      <c r="B42" s="8" t="n">
        <v>1140000000</v>
      </c>
      <c r="C42" s="7" t="n">
        <v>1141</v>
      </c>
    </row>
    <row r="43">
      <c r="A43" s="7" t="n">
        <v>42</v>
      </c>
      <c r="B43" s="8" t="n">
        <v>1270000000</v>
      </c>
      <c r="C43" s="7" t="n">
        <v>1191</v>
      </c>
    </row>
    <row r="44">
      <c r="A44" s="7" t="n">
        <v>43</v>
      </c>
      <c r="B44" s="8" t="n">
        <v>1420000000</v>
      </c>
      <c r="C44" s="7" t="n">
        <v>1241</v>
      </c>
    </row>
    <row r="45">
      <c r="A45" s="7" t="n">
        <v>44</v>
      </c>
      <c r="B45" s="8" t="n">
        <v>1580000000</v>
      </c>
      <c r="C45" s="7" t="n">
        <v>1291</v>
      </c>
    </row>
    <row r="46">
      <c r="A46" s="7" t="n">
        <v>45</v>
      </c>
      <c r="B46" s="8" t="n">
        <v>1760000000</v>
      </c>
      <c r="C46" s="7" t="n">
        <v>1341</v>
      </c>
    </row>
    <row r="47">
      <c r="A47" s="7" t="n">
        <v>46</v>
      </c>
      <c r="B47" s="8" t="n">
        <v>1960000000</v>
      </c>
      <c r="C47" s="7" t="n">
        <v>1391</v>
      </c>
    </row>
    <row r="48">
      <c r="A48" s="7" t="n">
        <v>47</v>
      </c>
      <c r="B48" s="8" t="n">
        <v>2180000000</v>
      </c>
      <c r="C48" s="7" t="n">
        <v>1451</v>
      </c>
    </row>
    <row r="49">
      <c r="A49" s="7" t="n">
        <v>48</v>
      </c>
      <c r="B49" s="8" t="n">
        <v>2420000000</v>
      </c>
      <c r="C49" s="7" t="n">
        <v>1511</v>
      </c>
    </row>
    <row r="50">
      <c r="A50" s="7" t="n">
        <v>49</v>
      </c>
      <c r="B50" s="8" t="n">
        <v>2700000000</v>
      </c>
      <c r="C50" s="7" t="n">
        <v>1571</v>
      </c>
    </row>
    <row r="51">
      <c r="A51" s="7" t="n">
        <v>50</v>
      </c>
      <c r="B51" s="8" t="n">
        <v>3000000000</v>
      </c>
      <c r="C51" s="7" t="n">
        <v>1641</v>
      </c>
    </row>
    <row r="52">
      <c r="A52" s="7" t="n">
        <v>51</v>
      </c>
      <c r="B52" s="8" t="n">
        <v>3300000000</v>
      </c>
      <c r="C52" s="7" t="n">
        <v>1711</v>
      </c>
    </row>
    <row r="53">
      <c r="A53" s="7" t="n">
        <v>52</v>
      </c>
      <c r="B53" s="8" t="n">
        <v>3630000000</v>
      </c>
      <c r="C53" s="7" t="n">
        <v>1781</v>
      </c>
    </row>
    <row r="54">
      <c r="A54" s="7" t="n">
        <v>53</v>
      </c>
      <c r="B54" s="8" t="n">
        <v>3993000000</v>
      </c>
      <c r="C54" s="7" t="n">
        <v>1851</v>
      </c>
    </row>
    <row r="55">
      <c r="A55" s="7" t="n">
        <v>54</v>
      </c>
      <c r="B55" s="8" t="n">
        <v>4392300000</v>
      </c>
      <c r="C55" s="7" t="n">
        <v>1921</v>
      </c>
    </row>
    <row r="56">
      <c r="A56" s="7" t="n">
        <v>55</v>
      </c>
      <c r="B56" s="8" t="n">
        <v>4831500000</v>
      </c>
      <c r="C56" s="7" t="n">
        <v>1991</v>
      </c>
    </row>
    <row r="57">
      <c r="A57" s="7" t="n">
        <v>56</v>
      </c>
      <c r="B57" s="8" t="n">
        <v>5314700000</v>
      </c>
      <c r="C57" s="7" t="n">
        <v>2061</v>
      </c>
    </row>
    <row r="58">
      <c r="A58" s="7" t="n">
        <v>57</v>
      </c>
      <c r="B58" s="8" t="n">
        <v>5846200000</v>
      </c>
      <c r="C58" s="7" t="n">
        <v>2131</v>
      </c>
    </row>
    <row r="59">
      <c r="A59" s="7" t="n">
        <v>58</v>
      </c>
      <c r="B59" s="8" t="n">
        <v>6430800000</v>
      </c>
      <c r="C59" s="7" t="n">
        <v>2201</v>
      </c>
    </row>
    <row r="60">
      <c r="A60" s="7" t="n">
        <v>59</v>
      </c>
      <c r="B60" s="8" t="n">
        <v>7073800000</v>
      </c>
      <c r="C60" s="7" t="n">
        <v>2271</v>
      </c>
    </row>
    <row r="61">
      <c r="A61" s="7" t="n">
        <v>60</v>
      </c>
      <c r="B61" s="8" t="n">
        <v>7781240000</v>
      </c>
      <c r="C61" s="7" t="n">
        <v>2341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9"/>
  <sheetViews>
    <sheetView workbookViewId="0">
      <selection activeCell="A1" sqref="A1"/>
    </sheetView>
  </sheetViews>
  <sheetFormatPr baseColWidth="8" defaultRowHeight="15"/>
  <cols>
    <col width="2" customWidth="1" min="1" max="1"/>
    <col width="46" customWidth="1" min="2" max="2"/>
    <col width="18" customWidth="1" min="3" max="3"/>
  </cols>
  <sheetData>
    <row r="2">
      <c r="B2" s="9" t="inlineStr">
        <is>
          <t>지역가입자 건강보험료 계산기</t>
        </is>
      </c>
    </row>
    <row r="4">
      <c r="B4" s="10" t="inlineStr">
        <is>
          <t>A. 소득보험료</t>
        </is>
      </c>
    </row>
    <row r="5">
      <c r="B5" s="11" t="inlineStr">
        <is>
          <t>연간 종합소득(사업·근로·연금·이자·배당·기타소득, 원)</t>
        </is>
      </c>
      <c r="C5" s="12" t="n">
        <v>30000000</v>
      </c>
    </row>
    <row r="6">
      <c r="B6" s="11" t="inlineStr">
        <is>
          <t>월 소득월액(자동)</t>
        </is>
      </c>
      <c r="C6" s="13">
        <f>C5/12</f>
        <v/>
      </c>
    </row>
    <row r="7">
      <c r="B7" s="11" t="inlineStr">
        <is>
          <t>건강보험료율(소득분)</t>
        </is>
      </c>
      <c r="C7" s="14" t="n">
        <v>0.07190000000000001</v>
      </c>
    </row>
    <row r="8">
      <c r="B8" s="11" t="inlineStr">
        <is>
          <t>월 소득보험료(자동)</t>
        </is>
      </c>
      <c r="C8" s="15">
        <f>C6*C7</f>
        <v/>
      </c>
    </row>
    <row r="10">
      <c r="B10" s="10" t="inlineStr">
        <is>
          <t>B. 재산보험료</t>
        </is>
      </c>
    </row>
    <row r="11">
      <c r="B11" s="11" t="inlineStr">
        <is>
          <t>재산세 과세표준 합계(주택·토지·건축물 등, 원)</t>
        </is>
      </c>
      <c r="C11" s="12" t="n">
        <v>300000000</v>
      </c>
    </row>
    <row r="12">
      <c r="B12" s="11" t="inlineStr">
        <is>
          <t>재산 공제액(원) — 2024년 2월부터 1억 원 일괄 공제</t>
        </is>
      </c>
      <c r="C12" s="12" t="n">
        <v>100000000</v>
      </c>
    </row>
    <row r="13">
      <c r="B13" s="11" t="inlineStr">
        <is>
          <t>공제 후 재산과표(자동)</t>
        </is>
      </c>
      <c r="C13" s="16">
        <f>MAX(C11-C12,0)</f>
        <v/>
      </c>
    </row>
    <row r="14">
      <c r="B14" s="11" t="inlineStr">
        <is>
          <t>추정 재산 점수(자동, 점수표 시트 참조)</t>
        </is>
      </c>
      <c r="C14" s="17">
        <f>VLOOKUP(C13,점수표!$B$2:$C$61,2,TRUE)</f>
        <v/>
      </c>
    </row>
    <row r="15">
      <c r="B15" s="11" t="inlineStr">
        <is>
          <t>점수당 금액(원) — 2026년 기준</t>
        </is>
      </c>
      <c r="C15" s="18" t="n">
        <v>211.5</v>
      </c>
    </row>
    <row r="16">
      <c r="B16" s="11" t="inlineStr">
        <is>
          <t>월 재산보험료(자동)</t>
        </is>
      </c>
      <c r="C16" s="15">
        <f>C14*C15</f>
        <v/>
      </c>
    </row>
    <row r="18">
      <c r="B18" s="10" t="inlineStr">
        <is>
          <t>C. 장기요양보험료</t>
        </is>
      </c>
    </row>
    <row r="19">
      <c r="B19" s="11" t="inlineStr">
        <is>
          <t>건강보험료(소득보험료+재산보험료, 자동)</t>
        </is>
      </c>
      <c r="C19" s="16">
        <f>C8+C16</f>
        <v/>
      </c>
    </row>
    <row r="20">
      <c r="B20" s="11" t="inlineStr">
        <is>
          <t>장기요양보험료율 — 2026년 기준</t>
        </is>
      </c>
      <c r="C20" s="14" t="n">
        <v>0.1295</v>
      </c>
    </row>
    <row r="21">
      <c r="B21" s="11" t="inlineStr">
        <is>
          <t>월 장기요양보험료(자동)</t>
        </is>
      </c>
      <c r="C21" s="15">
        <f>C19*C20</f>
        <v/>
      </c>
    </row>
    <row r="23">
      <c r="B23" s="10" t="inlineStr">
        <is>
          <t>D. 월 보험료 총액 확정</t>
        </is>
      </c>
    </row>
    <row r="24">
      <c r="B24" s="11" t="inlineStr">
        <is>
          <t>월 총 납부액(건강보험료+장기요양보험료, 자동)</t>
        </is>
      </c>
      <c r="C24" s="16">
        <f>C19+C21</f>
        <v/>
      </c>
    </row>
    <row r="25">
      <c r="B25" s="11" t="inlineStr">
        <is>
          <t>월 상한액(원) — 2026년 기준</t>
        </is>
      </c>
      <c r="C25" s="12" t="n">
        <v>4591740</v>
      </c>
    </row>
    <row r="26">
      <c r="B26" s="11" t="inlineStr">
        <is>
          <t>월 하한액(원) — 2026년 기준</t>
        </is>
      </c>
      <c r="C26" s="12" t="n">
        <v>20160</v>
      </c>
    </row>
    <row r="27">
      <c r="B27" s="11" t="inlineStr">
        <is>
          <t>최종 월 납부액(자동, 상한·하한 적용)</t>
        </is>
      </c>
      <c r="C27" s="19">
        <f>MIN(MAX(C24,C26),C25)</f>
        <v/>
      </c>
    </row>
    <row r="29" ht="30" customHeight="1">
      <c r="B29" s="20" t="inlineStr">
        <is>
          <t>참고 — 이 값을 '임의계속가입_유불리_비교_계산기.xlsx'의 'B. 월 보험료 비교' 구간, 지역가입자 전환 시 예상 월 보험료 칸에 그대로 입력하면 임의계속가입과의 유불리를 바로 비교할 수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2026-10-23T21:19:22Z</dcterms:created>
  <dcterms:modified xmlns:dcterms="http://purl.org/dc/terms/" xmlns:xsi="http://www.w3.org/2001/XMLSchema-instance" xsi:type="dcterms:W3CDTF">2026-10-23T21:19:22Z</dcterms:modified>
</cp:coreProperties>
</file>