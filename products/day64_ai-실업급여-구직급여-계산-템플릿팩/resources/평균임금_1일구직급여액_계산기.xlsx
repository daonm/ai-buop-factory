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일&quot;"/>
  </numFmts>
  <fonts count="7">
    <font>
      <name val="Calibri"/>
      <family val="2"/>
      <color theme="1"/>
      <sz val="11"/>
      <scheme val="minor"/>
    </font>
    <font>
      <b val="1"/>
      <color rgb="FF262C3D"/>
      <sz val="13"/>
    </font>
    <font>
      <color rgb="FF262C3D"/>
      <sz val="10"/>
    </font>
    <font>
      <color rgb="FF565F72"/>
      <sz val="9.5"/>
    </font>
    <font>
      <b val="1"/>
      <color rgb="FF262C3D"/>
      <sz val="11"/>
    </font>
    <font>
      <b val="1"/>
      <color rgb="FF262C3D"/>
      <sz val="10"/>
    </font>
    <font>
      <b val="1"/>
      <color rgb="FF262C3D"/>
      <sz val="12"/>
    </font>
  </fonts>
  <fills count="4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2" borderId="0" pivotButton="0" quotePrefix="0" xfId="0"/>
    <xf numFmtId="164" fontId="5" fillId="3" borderId="0" pivotButton="0" quotePrefix="0" xfId="0"/>
    <xf numFmtId="165" fontId="5" fillId="3" borderId="0" pivotButton="0" quotePrefix="0" xfId="0"/>
    <xf numFmtId="3" fontId="0" fillId="2" borderId="0" pivotButton="0" quotePrefix="0" xfId="0"/>
    <xf numFmtId="3" fontId="5" fillId="3" borderId="0" pivotButton="0" quotePrefix="0" xfId="0"/>
    <xf numFmtId="3" fontId="6" fillId="3" borderId="0" pivotButton="0" quotePrefix="0" xfId="0"/>
    <xf numFmtId="1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평균임금 · 1일 구직급여액 계산기</t>
        </is>
      </c>
    </row>
    <row r="4" ht="60" customHeight="1">
      <c r="B4" s="2" t="inlineStr">
        <is>
          <t>이직 전 3개월간 급여 내역과 상여금을 입력하면 1일 평균임금을 계산하고, 통상임금과 비교해 더 높은 값을 적용한 뒤, 2026년 기준 상한액(68,100원)·하한액(66,048원)을 적용한 최종 1일 구직급여액까지 자동으로 계산합니다.</t>
        </is>
      </c>
    </row>
    <row r="5" ht="45" customHeight="1">
      <c r="B5" s="3" t="inlineStr">
        <is>
          <t>이 계산기는 확정 급여액이 아니라 참고용 추정 계산 도구입니다. 상한액·하한액은 최저임금 변동과 고용노동부 고시에 따라 매년(또는 연중 고시 시점마다) 바뀌므로, 실제 신청 전에는 반드시 고용24(work24.go.kr) 공지로 재확인하세요.</t>
        </is>
      </c>
    </row>
    <row r="7">
      <c r="B7" s="4" t="inlineStr">
        <is>
          <t>사용법</t>
        </is>
      </c>
    </row>
    <row r="8">
      <c r="B8" s="2" t="inlineStr">
        <is>
          <t>1. 노란색 칸(이직일, 최근 3개월 급여, 상여금, 통상시급)에 값을 입력하세요.</t>
        </is>
      </c>
    </row>
    <row r="9">
      <c r="B9" s="2" t="inlineStr">
        <is>
          <t>2. 'A. 평균임금 산정' 구간에서 올리브색 칸에 1일 평균임금이 자동으로 뜹니다.</t>
        </is>
      </c>
    </row>
    <row r="10">
      <c r="B10" s="2" t="inlineStr">
        <is>
          <t>3. 'B. 통상임금 비교' 구간에서 평균임금과 통상임금 중 더 높은 값이 자동으로 적용됩니다.</t>
        </is>
      </c>
    </row>
    <row r="11">
      <c r="B11" s="2" t="inlineStr">
        <is>
          <t>4. 'C. 1일 구직급여액 산정' 구간에서 상한·하한액을 적용한 최종 1일 구직급여액이 자동으로 뜹니다. 이 값을 '소정급여일수_총수급액_계산기.xlsx'에 그대로 입력하세요.</t>
        </is>
      </c>
    </row>
    <row r="13" ht="45" customHeight="1">
      <c r="B13" s="3" t="inlineStr">
        <is>
          <t>주의 — 평균임금은 실제 급여대장을 기준으로 계산하는 것이 가장 정확합니다. 급여대장이 없다면 급여명세서 기준 추정치임을 리포트에 반드시 표시하세요.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7"/>
  <sheetViews>
    <sheetView workbookViewId="0">
      <selection activeCell="A1" sqref="A1"/>
    </sheetView>
  </sheetViews>
  <sheetFormatPr baseColWidth="8" defaultRowHeight="15"/>
  <cols>
    <col width="2" customWidth="1" min="2" max="2"/>
    <col width="34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>
      <c r="B2" s="1" t="inlineStr">
        <is>
          <t>평균임금 · 1일 구직급여액 계산기</t>
        </is>
      </c>
    </row>
    <row r="4" ht="18" customHeight="1">
      <c r="B4" s="4" t="inlineStr">
        <is>
          <t>A. 최근 3개월 급여 입력</t>
        </is>
      </c>
    </row>
    <row r="5">
      <c r="B5" t="inlineStr">
        <is>
          <t>이직일(퇴사일 또는 예정일)</t>
        </is>
      </c>
      <c r="C5" s="5" t="n">
        <v>46356</v>
      </c>
    </row>
    <row r="6">
      <c r="B6" t="inlineStr">
        <is>
          <t>3개월 산정 시작일(자동)</t>
        </is>
      </c>
      <c r="C6" s="6">
        <f>EDATE(C5,-3)+1</f>
        <v/>
      </c>
    </row>
    <row r="7">
      <c r="B7" t="inlineStr">
        <is>
          <t>그 3개월간 총 일수(자동)</t>
        </is>
      </c>
      <c r="C7" s="7">
        <f>C5-C6+1</f>
        <v/>
      </c>
    </row>
    <row r="8">
      <c r="B8" t="inlineStr">
        <is>
          <t>이직 직전 1개월 급여(기본급+수당, 원)</t>
        </is>
      </c>
      <c r="C8" s="8" t="n">
        <v>2700000</v>
      </c>
    </row>
    <row r="9">
      <c r="B9" t="inlineStr">
        <is>
          <t>이직 전 2개월째 급여(원)</t>
        </is>
      </c>
      <c r="C9" s="8" t="n">
        <v>2700000</v>
      </c>
    </row>
    <row r="10">
      <c r="B10" t="inlineStr">
        <is>
          <t>이직 전 3개월째 급여(원)</t>
        </is>
      </c>
      <c r="C10" s="8" t="n">
        <v>2700000</v>
      </c>
    </row>
    <row r="11">
      <c r="B11" t="inlineStr">
        <is>
          <t>임금총액(상여금 제외, 자동)</t>
        </is>
      </c>
      <c r="C11" s="9">
        <f>SUM(C8:C10)</f>
        <v/>
      </c>
    </row>
    <row r="12">
      <c r="B12" t="inlineStr">
        <is>
          <t>연간 상여금 총액(원, 없으면 0)</t>
        </is>
      </c>
      <c r="C12" s="8" t="n">
        <v>3600000</v>
      </c>
    </row>
    <row r="13">
      <c r="B13" t="inlineStr">
        <is>
          <t>상여금 3개월 반영분(자동, 연간의 3/12)</t>
        </is>
      </c>
      <c r="C13" s="9">
        <f>C12*(3/12)</f>
        <v/>
      </c>
    </row>
    <row r="14">
      <c r="B14" t="inlineStr">
        <is>
          <t>임금총액(상여금 포함, 자동)</t>
        </is>
      </c>
      <c r="C14" s="9">
        <f>C11+C13</f>
        <v/>
      </c>
    </row>
    <row r="15">
      <c r="B15" t="inlineStr">
        <is>
          <t>1일 평균임금(자동)</t>
        </is>
      </c>
      <c r="C15" s="10">
        <f>C14/C7</f>
        <v/>
      </c>
    </row>
    <row r="17" ht="18" customHeight="1">
      <c r="B17" s="4" t="inlineStr">
        <is>
          <t>B. 통상임금 비교</t>
        </is>
      </c>
    </row>
    <row r="18">
      <c r="B18" t="inlineStr">
        <is>
          <t>통상시급(원)</t>
        </is>
      </c>
      <c r="C18" s="8" t="n">
        <v>11000</v>
      </c>
    </row>
    <row r="19">
      <c r="B19" t="inlineStr">
        <is>
          <t>1일 통상 근무시간(시간)</t>
        </is>
      </c>
      <c r="C19" s="11" t="n">
        <v>8</v>
      </c>
    </row>
    <row r="20">
      <c r="B20" t="inlineStr">
        <is>
          <t>1일 통상임금(자동)</t>
        </is>
      </c>
      <c r="C20" s="9">
        <f>C18*C19</f>
        <v/>
      </c>
    </row>
    <row r="21">
      <c r="B21" t="inlineStr">
        <is>
          <t>적용 1일 임금(평균임금·통상임금 중 높은 값, 자동)</t>
        </is>
      </c>
      <c r="C21" s="10">
        <f>MAX(C15,C20)</f>
        <v/>
      </c>
    </row>
    <row r="23" ht="18" customHeight="1">
      <c r="B23" s="4" t="inlineStr">
        <is>
          <t>C. 1일 구직급여액 산정</t>
        </is>
      </c>
    </row>
    <row r="24">
      <c r="B24" t="inlineStr">
        <is>
          <t>평균임금(적용 1일 임금)의 60%(자동)</t>
        </is>
      </c>
      <c r="C24" s="9">
        <f>C21*0.6</f>
        <v/>
      </c>
    </row>
    <row r="25">
      <c r="B25" t="inlineStr">
        <is>
          <t>1일 상한액(원) — 2026년 기준, 매년 변경됨</t>
        </is>
      </c>
      <c r="C25" s="8" t="n">
        <v>68100</v>
      </c>
    </row>
    <row r="26">
      <c r="B26" t="inlineStr">
        <is>
          <t>1일 하한액(원) — 2026년 기준(최저임금×8시간×80%)</t>
        </is>
      </c>
      <c r="C26" s="8" t="n">
        <v>66048</v>
      </c>
    </row>
    <row r="27">
      <c r="B27" t="inlineStr">
        <is>
          <t>최종 1일 구직급여액(자동, 상한·하한 적용)</t>
        </is>
      </c>
      <c r="C27" s="10">
        <f>MIN(MAX(C24,C26),C25)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2026-10-21T21:11:57Z</dcterms:created>
  <dcterms:modified xmlns:dcterms="http://purl.org/dc/terms/" xmlns:xsi="http://www.w3.org/2001/XMLSchema-instance" xsi:type="dcterms:W3CDTF">2026-10-21T21:11:57Z</dcterms:modified>
</cp:coreProperties>
</file>