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&quot;일&quot;"/>
    <numFmt numFmtId="166" formatCode="0.0"/>
  </numFmts>
  <fonts count="8">
    <font>
      <name val="Calibri"/>
      <family val="2"/>
      <color theme="1"/>
      <sz val="11"/>
      <scheme val="minor"/>
    </font>
    <font>
      <b val="1"/>
      <color rgb="FF262C3D"/>
      <sz val="13"/>
    </font>
    <font>
      <color rgb="FF262C3D"/>
      <sz val="10"/>
    </font>
    <font>
      <color rgb="FF565F72"/>
      <sz val="9.5"/>
    </font>
    <font>
      <b val="1"/>
      <color rgb="FF262C3D"/>
      <sz val="11"/>
    </font>
    <font>
      <b val="1"/>
      <color rgb="FFFFFFFF"/>
      <sz val="10"/>
    </font>
    <font>
      <b val="1"/>
      <color rgb="FF262C3D"/>
      <sz val="10"/>
    </font>
    <font>
      <b val="1"/>
      <color rgb="FF262C3D"/>
      <sz val="12"/>
    </font>
  </fonts>
  <fills count="5">
    <fill>
      <patternFill/>
    </fill>
    <fill>
      <patternFill patternType="gray125"/>
    </fill>
    <fill>
      <patternFill patternType="solid">
        <fgColor rgb="FFB87F1F"/>
      </patternFill>
    </fill>
    <fill>
      <patternFill patternType="solid">
        <fgColor rgb="FFFFF6D9"/>
      </patternFill>
    </fill>
    <fill>
      <patternFill patternType="solid">
        <fgColor rgb="FFE3E6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" fontId="0" fillId="3" borderId="0" pivotButton="0" quotePrefix="0" xfId="0"/>
    <xf numFmtId="165" fontId="6" fillId="4" borderId="0" pivotButton="0" quotePrefix="0" xfId="0"/>
    <xf numFmtId="165" fontId="7" fillId="4" borderId="0" pivotButton="0" quotePrefix="0" xfId="0"/>
    <xf numFmtId="0" fontId="7" fillId="4" borderId="0" pivotButton="0" quotePrefix="0" xfId="0"/>
    <xf numFmtId="166" fontId="0" fillId="3" borderId="0" pivotButton="0" quotePrefix="0" xfId="0"/>
    <xf numFmtId="0" fontId="6" fillId="4" borderId="0" pivotButton="0" quotePrefix="0" xfId="0"/>
    <xf numFmtId="3" fontId="0" fillId="3" borderId="0" pivotButton="0" quotePrefix="0" xfId="0"/>
    <xf numFmtId="3" fontId="7" fillId="4" borderId="0" pivotButton="0" quotePrefix="0" xfId="0"/>
    <xf numFmtId="164" fontId="6" fillId="4" borderId="0" pivotButton="0" quotePrefix="0" xfId="0"/>
    <xf numFmtId="1" fontId="0" fillId="0" borderId="0" pivotButton="0" quotePrefix="0" xfId="0"/>
    <xf numFmtId="3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cols>
    <col width="2" customWidth="1" min="1" max="1"/>
    <col width="110" customWidth="1" min="2" max="2"/>
  </cols>
  <sheetData>
    <row r="2">
      <c r="B2" s="1" t="inlineStr">
        <is>
          <t>소정급여일수 · 총수급액 계산기</t>
        </is>
      </c>
    </row>
    <row r="4" ht="60" customHeight="1">
      <c r="B4" s="2" t="inlineStr">
        <is>
          <t>회사별 재직기간을 입력하면 피보험단위기간 180일 충족 여부를 확인하고, 이직일 현재 연령·가입기간으로 소정급여일수를 산정한 뒤, '평균임금_1일구직급여액_계산기.xlsx'의 결과값을 입력하면 총수급액과 대기기간 7일을 반영한 4주 단위 수급 구간표까지 자동으로 계산합니다.</t>
        </is>
      </c>
    </row>
    <row r="5" ht="45" customHeight="1">
      <c r="B5" s="3" t="inlineStr">
        <is>
          <t>이 계산기는 확정 수급액이 아니라 참고용 추정 계산 도구입니다. 소정급여일수표·대기기간 기준은 고용보험법 개정으로 바뀔 수 있으므로, 실제 신청 전에는 반드시 고용24(work24.go.kr)·고용센터 확인을 거치세요.</t>
        </is>
      </c>
    </row>
    <row r="7">
      <c r="B7" s="4" t="inlineStr">
        <is>
          <t>사용법</t>
        </is>
      </c>
    </row>
    <row r="8">
      <c r="B8" s="2" t="inlineStr">
        <is>
          <t>1. 노란색 칸(회사별 재직기간, 연령, 가입기간, 1일 구직급여액, 실업신고일)에 값을 입력하세요.</t>
        </is>
      </c>
    </row>
    <row r="9">
      <c r="B9" s="2" t="inlineStr">
        <is>
          <t>2. 'A. 피보험단위기간 확인' 구간에서 180일 충족 여부가 자동으로 뜹니다.</t>
        </is>
      </c>
    </row>
    <row r="10">
      <c r="B10" s="2" t="inlineStr">
        <is>
          <t>3. 'B. 소정급여일수 산정' 구간에서 연령·가입기간에 맞는 소정급여일수가 자동으로 뜹니다.</t>
        </is>
      </c>
    </row>
    <row r="11">
      <c r="B11" s="2" t="inlineStr">
        <is>
          <t>4. 'C. 총수급액·수급기간' 구간에 1일 구직급여액을 입력하면 총수급액·예상 첫 지급일이, 'D. 4주 단위 수급 구간표'에는 지급 일정이 자동으로 채워집니다.</t>
        </is>
      </c>
    </row>
    <row r="13" ht="45" customHeight="1">
      <c r="B13" s="3" t="inlineStr">
        <is>
          <t>주의 — 무급휴직·결근 기간은 피보험단위기간에서 제외됩니다. 재직기간 전체가 아니라 실제 근무+유급휴일 일수만 합산해야 정확합니다. '전체 가입기간'은 소정급여일수 산정에 쓰이는 별도 값으로, 피보험단위기간 합계와 다를 수 있습니다(여러 직장을 합산한 고용보험 전체 가입기간을 직접 입력하세요).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9"/>
  <sheetViews>
    <sheetView workbookViewId="0">
      <selection activeCell="A1" sqref="A1"/>
    </sheetView>
  </sheetViews>
  <sheetFormatPr baseColWidth="8" defaultRowHeight="15"/>
  <cols>
    <col width="2" customWidth="1" min="2" max="2"/>
    <col width="16" customWidth="1" min="3" max="3"/>
    <col width="16" customWidth="1" min="4" max="4"/>
    <col width="16" customWidth="1" min="5" max="5"/>
    <col width="18" customWidth="1" min="6" max="6"/>
    <col width="20" customWidth="1" min="7" max="7"/>
  </cols>
  <sheetData>
    <row r="2">
      <c r="B2" s="1" t="inlineStr">
        <is>
          <t>소정급여일수 · 총수급액 계산기</t>
        </is>
      </c>
    </row>
    <row r="4" ht="18" customHeight="1">
      <c r="B4" s="4" t="inlineStr">
        <is>
          <t>A. 피보험단위기간 확인(180일 기준)</t>
        </is>
      </c>
    </row>
    <row r="5">
      <c r="B5" s="5" t="inlineStr">
        <is>
          <t>회사명</t>
        </is>
      </c>
      <c r="C5" s="5" t="inlineStr">
        <is>
          <t>재직시작일</t>
        </is>
      </c>
      <c r="D5" s="5" t="inlineStr">
        <is>
          <t>재직종료일</t>
        </is>
      </c>
      <c r="E5" s="5" t="inlineStr">
        <is>
          <t>무급휴직일수</t>
        </is>
      </c>
      <c r="F5" s="5" t="inlineStr">
        <is>
          <t>산입가능일수(자동)</t>
        </is>
      </c>
    </row>
    <row r="6">
      <c r="B6" s="6" t="inlineStr">
        <is>
          <t>㈜예시전자</t>
        </is>
      </c>
      <c r="C6" s="7" t="n">
        <v>44622</v>
      </c>
      <c r="D6" s="7" t="n">
        <v>45565</v>
      </c>
      <c r="E6" s="8" t="n">
        <v>0</v>
      </c>
      <c r="F6" s="9">
        <f>IF(OR(C6="",D6=""),0,D6-C6+1-E6)</f>
        <v/>
      </c>
    </row>
    <row r="7">
      <c r="B7" s="6" t="inlineStr">
        <is>
          <t>성실물류(전 직장)</t>
        </is>
      </c>
      <c r="C7" s="7" t="n">
        <v>44200</v>
      </c>
      <c r="D7" s="7" t="n">
        <v>44550</v>
      </c>
      <c r="E7" s="8" t="n">
        <v>10</v>
      </c>
      <c r="F7" s="9">
        <f>IF(OR(C7="",D7=""),0,D7-C7+1-E7)</f>
        <v/>
      </c>
    </row>
    <row r="8">
      <c r="B8" s="6" t="inlineStr"/>
      <c r="C8" s="7" t="n"/>
      <c r="D8" s="7" t="n"/>
      <c r="E8" s="8" t="n">
        <v>0</v>
      </c>
      <c r="F8" s="9">
        <f>IF(OR(C8="",D8=""),0,D8-C8+1-E8)</f>
        <v/>
      </c>
    </row>
    <row r="9">
      <c r="B9" t="inlineStr">
        <is>
          <t>누적 피보험단위기간(자동)</t>
        </is>
      </c>
      <c r="F9" s="10">
        <f>SUM(F6:F8)</f>
        <v/>
      </c>
    </row>
    <row r="10">
      <c r="B10" t="inlineStr">
        <is>
          <t>180일 충족 여부(자동)</t>
        </is>
      </c>
      <c r="F10" s="11">
        <f>IF(F9&gt;=180,"충족","미충족")</f>
        <v/>
      </c>
    </row>
    <row r="11">
      <c r="B11" t="inlineStr">
        <is>
          <t>부족 일수(미충족 시, 자동)</t>
        </is>
      </c>
      <c r="F11" s="9">
        <f>IF(F9&lt;180,180-F9,0)</f>
        <v/>
      </c>
    </row>
    <row r="13" ht="18" customHeight="1">
      <c r="B13" s="4" t="inlineStr">
        <is>
          <t>B. 소정급여일수 산정</t>
        </is>
      </c>
    </row>
    <row r="14">
      <c r="B14" t="inlineStr">
        <is>
          <t>이직일 현재 연령(세)</t>
        </is>
      </c>
      <c r="C14" s="8" t="n">
        <v>38</v>
      </c>
    </row>
    <row r="15">
      <c r="B15" t="inlineStr">
        <is>
          <t>장애인 여부</t>
        </is>
      </c>
      <c r="C15" s="6" t="inlineStr">
        <is>
          <t>아니오</t>
        </is>
      </c>
    </row>
    <row r="16">
      <c r="B16" t="inlineStr">
        <is>
          <t>전체 가입기간(년) — 고용보험 전체 가입기간</t>
        </is>
      </c>
      <c r="C16" s="12" t="n">
        <v>4.2</v>
      </c>
    </row>
    <row r="17">
      <c r="B17" t="inlineStr">
        <is>
          <t>연령구분(자동)</t>
        </is>
      </c>
      <c r="C17" s="13">
        <f>IF(OR(C14&gt;=50,C15="예"),"50세이상·장애인","50세미만")</f>
        <v/>
      </c>
    </row>
    <row r="18">
      <c r="B18" t="inlineStr">
        <is>
          <t>소정급여일수(자동)</t>
        </is>
      </c>
      <c r="C18" s="10">
        <f>IF(C16&lt;1,120,IF(C16&lt;3,IF(C17="50세미만",150,180),IF(C16&lt;5,IF(C17="50세미만",180,210),IF(C16&lt;10,IF(C17="50세미만",210,240),IF(C17="50세미만",240,270)))))</f>
        <v/>
      </c>
    </row>
    <row r="20" ht="18" customHeight="1">
      <c r="B20" s="4" t="inlineStr">
        <is>
          <t>C. 총수급액 · 수급기간 계산</t>
        </is>
      </c>
    </row>
    <row r="21">
      <c r="B21" t="inlineStr">
        <is>
          <t>1일 구직급여액(원) — 계산기1 결과 입력</t>
        </is>
      </c>
      <c r="C21" s="14" t="n">
        <v>62100</v>
      </c>
    </row>
    <row r="22">
      <c r="B22" t="inlineStr">
        <is>
          <t>총수급액(원, 자동)</t>
        </is>
      </c>
      <c r="C22" s="15">
        <f>C18*C21</f>
        <v/>
      </c>
    </row>
    <row r="23">
      <c r="B23" t="inlineStr">
        <is>
          <t>실업신고일(수급자격 신청일)</t>
        </is>
      </c>
      <c r="C23" s="7" t="n">
        <v>46363</v>
      </c>
    </row>
    <row r="24">
      <c r="B24" t="inlineStr">
        <is>
          <t>대기기간 종료일(7일째, 자동)</t>
        </is>
      </c>
      <c r="C24" s="16">
        <f>C23+6</f>
        <v/>
      </c>
    </row>
    <row r="25">
      <c r="B25" t="inlineStr">
        <is>
          <t>첫 실업인정 구간 시작일(예상 첫 지급 기준일, 자동)</t>
        </is>
      </c>
      <c r="C25" s="16">
        <f>C24+1</f>
        <v/>
      </c>
    </row>
    <row r="27" ht="18" customHeight="1">
      <c r="B27" s="4" t="inlineStr">
        <is>
          <t>D. 4주 단위 수급 구간표(자동)</t>
        </is>
      </c>
    </row>
    <row r="28">
      <c r="B28" s="5" t="inlineStr">
        <is>
          <t>구간</t>
        </is>
      </c>
      <c r="C28" s="5" t="inlineStr">
        <is>
          <t>구간시작일</t>
        </is>
      </c>
      <c r="D28" s="5" t="inlineStr">
        <is>
          <t>이구간일수</t>
        </is>
      </c>
      <c r="E28" s="5" t="inlineStr">
        <is>
          <t>구간종료일</t>
        </is>
      </c>
      <c r="F28" s="5" t="inlineStr">
        <is>
          <t>구간지급액(원)</t>
        </is>
      </c>
    </row>
    <row r="29">
      <c r="B29" s="17" t="n">
        <v>1</v>
      </c>
      <c r="C29" s="16">
        <f>C25</f>
        <v/>
      </c>
      <c r="D29" s="9">
        <f>IF(($C$18-0*28)&lt;=0,"",MIN(28,$C$18-0*28))</f>
        <v/>
      </c>
      <c r="E29" s="16">
        <f>IF(D29="","",C29+D29-1)</f>
        <v/>
      </c>
      <c r="F29" s="18">
        <f>IF(D29="","",D29*$C$21)</f>
        <v/>
      </c>
    </row>
    <row r="30">
      <c r="B30" s="17" t="n">
        <v>2</v>
      </c>
      <c r="C30" s="16">
        <f>IF(($C$18-1*28)&lt;=0,"",IF(E29="","",E29+1))</f>
        <v/>
      </c>
      <c r="D30" s="9">
        <f>IF(($C$18-1*28)&lt;=0,"",MIN(28,$C$18-1*28))</f>
        <v/>
      </c>
      <c r="E30" s="16">
        <f>IF(D30="","",C30+D30-1)</f>
        <v/>
      </c>
      <c r="F30" s="18">
        <f>IF(D30="","",D30*$C$21)</f>
        <v/>
      </c>
    </row>
    <row r="31">
      <c r="B31" s="17" t="n">
        <v>3</v>
      </c>
      <c r="C31" s="16">
        <f>IF(($C$18-2*28)&lt;=0,"",IF(E30="","",E30+1))</f>
        <v/>
      </c>
      <c r="D31" s="9">
        <f>IF(($C$18-2*28)&lt;=0,"",MIN(28,$C$18-2*28))</f>
        <v/>
      </c>
      <c r="E31" s="16">
        <f>IF(D31="","",C31+D31-1)</f>
        <v/>
      </c>
      <c r="F31" s="18">
        <f>IF(D31="","",D31*$C$21)</f>
        <v/>
      </c>
    </row>
    <row r="32">
      <c r="B32" s="17" t="n">
        <v>4</v>
      </c>
      <c r="C32" s="16">
        <f>IF(($C$18-3*28)&lt;=0,"",IF(E31="","",E31+1))</f>
        <v/>
      </c>
      <c r="D32" s="9">
        <f>IF(($C$18-3*28)&lt;=0,"",MIN(28,$C$18-3*28))</f>
        <v/>
      </c>
      <c r="E32" s="16">
        <f>IF(D32="","",C32+D32-1)</f>
        <v/>
      </c>
      <c r="F32" s="18">
        <f>IF(D32="","",D32*$C$21)</f>
        <v/>
      </c>
    </row>
    <row r="33">
      <c r="B33" s="17" t="n">
        <v>5</v>
      </c>
      <c r="C33" s="16">
        <f>IF(($C$18-4*28)&lt;=0,"",IF(E32="","",E32+1))</f>
        <v/>
      </c>
      <c r="D33" s="9">
        <f>IF(($C$18-4*28)&lt;=0,"",MIN(28,$C$18-4*28))</f>
        <v/>
      </c>
      <c r="E33" s="16">
        <f>IF(D33="","",C33+D33-1)</f>
        <v/>
      </c>
      <c r="F33" s="18">
        <f>IF(D33="","",D33*$C$21)</f>
        <v/>
      </c>
    </row>
    <row r="34">
      <c r="B34" s="17" t="n">
        <v>6</v>
      </c>
      <c r="C34" s="16">
        <f>IF(($C$18-5*28)&lt;=0,"",IF(E33="","",E33+1))</f>
        <v/>
      </c>
      <c r="D34" s="9">
        <f>IF(($C$18-5*28)&lt;=0,"",MIN(28,$C$18-5*28))</f>
        <v/>
      </c>
      <c r="E34" s="16">
        <f>IF(D34="","",C34+D34-1)</f>
        <v/>
      </c>
      <c r="F34" s="18">
        <f>IF(D34="","",D34*$C$21)</f>
        <v/>
      </c>
    </row>
    <row r="35">
      <c r="B35" s="17" t="n">
        <v>7</v>
      </c>
      <c r="C35" s="16">
        <f>IF(($C$18-6*28)&lt;=0,"",IF(E34="","",E34+1))</f>
        <v/>
      </c>
      <c r="D35" s="9">
        <f>IF(($C$18-6*28)&lt;=0,"",MIN(28,$C$18-6*28))</f>
        <v/>
      </c>
      <c r="E35" s="16">
        <f>IF(D35="","",C35+D35-1)</f>
        <v/>
      </c>
      <c r="F35" s="18">
        <f>IF(D35="","",D35*$C$21)</f>
        <v/>
      </c>
    </row>
    <row r="36">
      <c r="B36" s="17" t="n">
        <v>8</v>
      </c>
      <c r="C36" s="16">
        <f>IF(($C$18-7*28)&lt;=0,"",IF(E35="","",E35+1))</f>
        <v/>
      </c>
      <c r="D36" s="9">
        <f>IF(($C$18-7*28)&lt;=0,"",MIN(28,$C$18-7*28))</f>
        <v/>
      </c>
      <c r="E36" s="16">
        <f>IF(D36="","",C36+D36-1)</f>
        <v/>
      </c>
      <c r="F36" s="18">
        <f>IF(D36="","",D36*$C$21)</f>
        <v/>
      </c>
    </row>
    <row r="37">
      <c r="B37" s="17" t="n">
        <v>9</v>
      </c>
      <c r="C37" s="16">
        <f>IF(($C$18-8*28)&lt;=0,"",IF(E36="","",E36+1))</f>
        <v/>
      </c>
      <c r="D37" s="9">
        <f>IF(($C$18-8*28)&lt;=0,"",MIN(28,$C$18-8*28))</f>
        <v/>
      </c>
      <c r="E37" s="16">
        <f>IF(D37="","",C37+D37-1)</f>
        <v/>
      </c>
      <c r="F37" s="18">
        <f>IF(D37="","",D37*$C$21)</f>
        <v/>
      </c>
    </row>
    <row r="38">
      <c r="B38" s="17" t="n">
        <v>10</v>
      </c>
      <c r="C38" s="16">
        <f>IF(($C$18-9*28)&lt;=0,"",IF(E37="","",E37+1))</f>
        <v/>
      </c>
      <c r="D38" s="9">
        <f>IF(($C$18-9*28)&lt;=0,"",MIN(28,$C$18-9*28))</f>
        <v/>
      </c>
      <c r="E38" s="16">
        <f>IF(D38="","",C38+D38-1)</f>
        <v/>
      </c>
      <c r="F38" s="18">
        <f>IF(D38="","",D38*$C$21)</f>
        <v/>
      </c>
    </row>
    <row r="39">
      <c r="B39" t="inlineStr">
        <is>
          <t>검증 — 구간표 합계(총지급일수 / 총지급액, 자동)</t>
        </is>
      </c>
      <c r="D39" s="9">
        <f>SUM(D29:D38)</f>
        <v/>
      </c>
      <c r="F39" s="18">
        <f>SUM(F29:F38)</f>
        <v/>
      </c>
    </row>
  </sheetData>
  <dataValidations count="1">
    <dataValidation sqref="C15" showDropDown="0" showInputMessage="0" showErrorMessage="0" allowBlank="0" type="list">
      <formula1>"예,아니오"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2026-10-21T21:11:57Z</dcterms:created>
  <dcterms:modified xmlns:dcterms="http://purl.org/dc/terms/" xmlns:xsi="http://www.w3.org/2001/XMLSchema-instance" xsi:type="dcterms:W3CDTF">2026-10-21T21:11:57Z</dcterms:modified>
</cp:coreProperties>
</file>