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&quot;일&quot;"/>
    <numFmt numFmtId="165" formatCode="yyyy-mm-dd"/>
    <numFmt numFmtId="166" formatCode="0.0"/>
  </numFmts>
  <fonts count="7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b val="1"/>
      <color rgb="FF262C3D"/>
      <sz val="10"/>
    </font>
    <font>
      <b val="1"/>
      <color rgb="FF262C3D"/>
      <sz val="12"/>
    </font>
  </fonts>
  <fills count="4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165" fontId="0" fillId="2" borderId="0" pivotButton="0" quotePrefix="0" xfId="0"/>
    <xf numFmtId="0" fontId="0" fillId="2" borderId="0" pivotButton="0" quotePrefix="0" xfId="0"/>
    <xf numFmtId="164" fontId="5" fillId="3" borderId="0" pivotButton="0" quotePrefix="0" xfId="0"/>
    <xf numFmtId="166" fontId="5" fillId="3" borderId="0" pivotButton="0" quotePrefix="0" xfId="0"/>
    <xf numFmtId="0" fontId="6" fillId="3" borderId="0" pivotButton="0" quotePrefix="0" xfId="0"/>
    <xf numFmtId="3" fontId="6" fillId="3" borderId="0" pivotButton="0" quotePrefix="0" xfId="0"/>
    <xf numFmtId="0" fontId="5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조기재취업수당 계산기</t>
        </is>
      </c>
    </row>
    <row r="4" ht="60" customHeight="1">
      <c r="B4" s="2" t="inlineStr">
        <is>
          <t>소정급여일수·사용일수·1일 구직급여액을 입력하면 남은 소정급여일수가 전체의 1/2 이상인지 판정하고, 조건을 충족하면 예상 조기재취업수당까지 자동으로 계산합니다.</t>
        </is>
      </c>
    </row>
    <row r="5" ht="45" customHeight="1">
      <c r="B5" s="3" t="inlineStr">
        <is>
          <t>이 계산기는 확정 지급액이 아니라 참고용 추정 계산 도구입니다. 동일 사업장 재고용, 특수관계인 사업장 취업 등은 지급이 제한될 수 있으므로 실제 신청 전에는 반드시 고용24·고용센터 확인을 거치세요.</t>
        </is>
      </c>
    </row>
    <row r="7">
      <c r="B7" s="4" t="inlineStr">
        <is>
          <t>사용법</t>
        </is>
      </c>
    </row>
    <row r="8">
      <c r="B8" s="2" t="inlineStr">
        <is>
          <t>1. 노란색 칸(소정급여일수, 사용일수, 1일 구직급여액, 12개월 고용유지 여부)에 값을 입력하세요.</t>
        </is>
      </c>
    </row>
    <row r="9">
      <c r="B9" s="2" t="inlineStr">
        <is>
          <t>2. 'B. 조건 판정' 구간에서 남은 일수가 1/2 이상인지 자동으로 판정됩니다.</t>
        </is>
      </c>
    </row>
    <row r="10">
      <c r="B10" s="2" t="inlineStr">
        <is>
          <t>3. 'C. 예상 조기재취업수당' 구간에서 조건 충족 시 예상 지급액이 자동으로 뜹니다.</t>
        </is>
      </c>
    </row>
    <row r="12" ht="45" customHeight="1">
      <c r="B12" s="3" t="inlineStr">
        <is>
          <t>주의 — 12개월 이상 계속 고용(또는 사업 유지)되지 않으면 조건을 충족해도 지급되지 않을 수 있습니다. 재취업 후 최소 12개월 근속(또는 사업 유지)이 확인된 뒤 신청하는 것이 원칙입니다.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workbookViewId="0">
      <selection activeCell="A1" sqref="A1"/>
    </sheetView>
  </sheetViews>
  <sheetFormatPr baseColWidth="8" defaultRowHeight="15"/>
  <cols>
    <col width="2" customWidth="1" min="2" max="2"/>
    <col width="42" customWidth="1" min="3" max="3"/>
    <col width="22" customWidth="1" min="4" max="4"/>
  </cols>
  <sheetData>
    <row r="2">
      <c r="B2" s="1" t="inlineStr">
        <is>
          <t>조기재취업수당 계산기</t>
        </is>
      </c>
    </row>
    <row r="4" ht="18" customHeight="1">
      <c r="B4" s="4" t="inlineStr">
        <is>
          <t>A. 입력</t>
        </is>
      </c>
    </row>
    <row r="5">
      <c r="B5" t="inlineStr">
        <is>
          <t>소정급여일수(일) — 계산기2 결과 입력</t>
        </is>
      </c>
      <c r="C5" s="5" t="n">
        <v>180</v>
      </c>
    </row>
    <row r="6">
      <c r="B6" t="inlineStr">
        <is>
          <t>사용일수(재취업 시점까지 이미 받은 일수)</t>
        </is>
      </c>
      <c r="C6" s="5" t="n">
        <v>60</v>
      </c>
    </row>
    <row r="7">
      <c r="B7" t="inlineStr">
        <is>
          <t>1일 구직급여액(원) — 계산기1 결과 입력</t>
        </is>
      </c>
      <c r="C7" s="6" t="n">
        <v>62100</v>
      </c>
    </row>
    <row r="8">
      <c r="B8" t="inlineStr">
        <is>
          <t>재취업일(참고용)</t>
        </is>
      </c>
      <c r="C8" s="7" t="n">
        <v>46423</v>
      </c>
    </row>
    <row r="9">
      <c r="B9" t="inlineStr">
        <is>
          <t>12개월 고용유지(예정) 여부</t>
        </is>
      </c>
      <c r="C9" s="8" t="inlineStr">
        <is>
          <t>예</t>
        </is>
      </c>
    </row>
    <row r="11" ht="18" customHeight="1">
      <c r="B11" s="4" t="inlineStr">
        <is>
          <t>B. 조건 판정</t>
        </is>
      </c>
    </row>
    <row r="12">
      <c r="B12" t="inlineStr">
        <is>
          <t>남은 소정급여일수(자동)</t>
        </is>
      </c>
      <c r="C12" s="9">
        <f>C5-C6</f>
        <v/>
      </c>
    </row>
    <row r="13">
      <c r="B13" t="inlineStr">
        <is>
          <t>1/2 기준 일수(자동)</t>
        </is>
      </c>
      <c r="C13" s="10">
        <f>C5/2</f>
        <v/>
      </c>
    </row>
    <row r="14">
      <c r="B14" t="inlineStr">
        <is>
          <t>1/2 이상 충족 여부(자동)</t>
        </is>
      </c>
      <c r="C14" s="11">
        <f>IF(C12&gt;=C13,"충족","미충족")</f>
        <v/>
      </c>
    </row>
    <row r="16" ht="18" customHeight="1">
      <c r="B16" s="4" t="inlineStr">
        <is>
          <t>C. 예상 조기재취업수당</t>
        </is>
      </c>
    </row>
    <row r="17">
      <c r="B17" t="inlineStr">
        <is>
          <t>예상 조기재취업수당(원, 자동)</t>
        </is>
      </c>
      <c r="C17" s="12">
        <f>IF(C14="충족",ROUND(C12/2,0)*C7,0)</f>
        <v/>
      </c>
    </row>
    <row r="18" ht="30" customHeight="1">
      <c r="B18" t="inlineStr">
        <is>
          <t>최종 지급 가능성(추정, 자동)</t>
        </is>
      </c>
      <c r="C18" s="13">
        <f>IF(C14&lt;&gt;"충족","남은일수 조건 미충족",IF(C9="예","지급 가능(추정)",IF(C9="아니오","고용유지 조건 미충족","고용유지 여부 확정 후 재판정")))</f>
        <v/>
      </c>
    </row>
  </sheetData>
  <dataValidations count="1">
    <dataValidation sqref="C9" showDropDown="0" showInputMessage="0" showErrorMessage="0" allowBlank="0" type="list">
      <formula1>"예,아니오,미정"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2026-10-21T21:11:57Z</dcterms:created>
  <dcterms:modified xmlns:dcterms="http://purl.org/dc/terms/" xmlns:xsi="http://www.w3.org/2001/XMLSchema-instance" xsi:type="dcterms:W3CDTF">2026-10-21T21:11:57Z</dcterms:modified>
</cp:coreProperties>
</file>