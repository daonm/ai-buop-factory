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면책조항" sheetId="1" state="visible" r:id="rId1"/>
    <sheet name="기준표(2026)" sheetId="2" state="visible" r:id="rId2"/>
    <sheet name="급여명세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6">
    <font>
      <name val="Calibri"/>
      <family val="2"/>
      <color theme="1"/>
      <sz val="11"/>
      <scheme val="minor"/>
    </font>
    <font>
      <name val="맑은 고딕"/>
      <b val="1"/>
      <color rgb="00262C3D"/>
      <sz val="14"/>
    </font>
    <font>
      <name val="맑은 고딕"/>
      <b val="1"/>
      <color rgb="00262C3D"/>
    </font>
    <font>
      <name val="맑은 고딕"/>
    </font>
    <font>
      <name val="맑은 고딕"/>
      <i val="1"/>
      <color rgb="00565F72"/>
      <sz val="9"/>
    </font>
    <font>
      <name val="맑은 고딕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87F1F"/>
      </patternFill>
    </fill>
    <fill>
      <patternFill patternType="solid">
        <fgColor rgb="00FFF6D9"/>
      </patternFill>
    </fill>
    <fill>
      <patternFill patternType="solid">
        <fgColor rgb="00E3E6CE"/>
      </patternFill>
    </fill>
  </fills>
  <borders count="2">
    <border>
      <left/>
      <right/>
      <top/>
      <bottom/>
      <diagonal/>
    </border>
    <border>
      <left style="thin">
        <color rgb="00D9DACB"/>
      </left>
      <right style="thin">
        <color rgb="00D9DACB"/>
      </right>
      <top style="thin">
        <color rgb="00D9DACB"/>
      </top>
      <bottom style="thin">
        <color rgb="00D9DAC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0" fontId="3" fillId="0" borderId="1" pivotButton="0" quotePrefix="0" xfId="0"/>
    <xf numFmtId="0" fontId="4" fillId="0" borderId="1" applyAlignment="1" pivotButton="0" quotePrefix="0" xfId="0">
      <alignment wrapText="1"/>
    </xf>
    <xf numFmtId="164" fontId="3" fillId="0" borderId="1" pivotButton="0" quotePrefix="0" xfId="0"/>
    <xf numFmtId="0" fontId="3" fillId="0" borderId="0" applyAlignment="1" pivotButton="0" quotePrefix="0" xfId="0">
      <alignment vertical="center" wrapText="1"/>
    </xf>
    <xf numFmtId="49" fontId="3" fillId="3" borderId="1" applyAlignment="1" pivotButton="0" quotePrefix="0" xfId="0">
      <alignment horizontal="right"/>
    </xf>
    <xf numFmtId="0" fontId="5" fillId="2" borderId="1" applyAlignment="1" pivotButton="0" quotePrefix="0" xfId="0">
      <alignment vertical="center" wrapText="1"/>
    </xf>
    <xf numFmtId="0" fontId="0" fillId="2" borderId="1" pivotButton="0" quotePrefix="0" xfId="0"/>
    <xf numFmtId="164" fontId="3" fillId="3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급여명세서 자동생성 시트 (2026년 기준)</t>
        </is>
      </c>
    </row>
    <row r="4">
      <c r="B4" s="2" t="inlineStr">
        <is>
          <t>⚠ 사용 전 꼭 읽어주세요</t>
        </is>
      </c>
    </row>
    <row r="5" ht="90" customHeight="1">
      <c r="B5" s="3" t="inlineStr">
        <is>
          <t>본 계산기는 세금·보험료 예상치를 미리 가늠해보는 참고용 도구입니다. 세무 상담이나 신고 대행을 대신하지 않으며, 실제 신고·납부 금액과 다를 수 있습니다. 정확한 금액은 국민연금공단·국민건강보험공단·근로복지공단 또는 국세청 홈택스, 필요시 세무사와 반드시 다시 확인하세요. (기준: 2026년 9월 확인)</t>
        </is>
      </c>
    </row>
    <row r="7">
      <c r="B7" s="2" t="inlineStr">
        <is>
          <t>사용법</t>
        </is>
      </c>
    </row>
    <row r="8">
      <c r="B8" s="4" t="inlineStr">
        <is>
          <t>① '계산기' 시트로 이동 → ② 노란색 칸에만 숫자를 입력 → ③ 올리브색 칸에서 결과 확인</t>
        </is>
      </c>
    </row>
    <row r="9" ht="30" customHeight="1">
      <c r="B9" s="5" t="inlineStr">
        <is>
          <t>회색 '기준표' 시트는 계산에 사용되는 요율표입니다. 요율이 바뀌면 이 시트 숫자만 교체하면 전체 계산기가 자동으로 갱신됩니다.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6" customWidth="1" min="3" max="3"/>
  </cols>
  <sheetData>
    <row r="1">
      <c r="A1" s="6" t="inlineStr">
        <is>
          <t>항목</t>
        </is>
      </c>
      <c r="B1" s="6" t="inlineStr">
        <is>
          <t>값</t>
        </is>
      </c>
      <c r="C1" s="6" t="inlineStr">
        <is>
          <t>비고</t>
        </is>
      </c>
    </row>
    <row r="2">
      <c r="A2" s="7" t="inlineStr">
        <is>
          <t>국민연금 요율(근로자)</t>
        </is>
      </c>
      <c r="B2" s="8" t="n">
        <v>0.0475</v>
      </c>
      <c r="C2" s="9" t="inlineStr">
        <is>
          <t>전체 9.5%의 절반</t>
        </is>
      </c>
    </row>
    <row r="3">
      <c r="A3" s="7" t="inlineStr">
        <is>
          <t>국민연금 기준소득월액 상한액</t>
        </is>
      </c>
      <c r="B3" s="10" t="n">
        <v>6370000</v>
      </c>
      <c r="C3" s="9" t="inlineStr">
        <is>
          <t>2026.7~2027.6 적용분</t>
        </is>
      </c>
    </row>
    <row r="4">
      <c r="A4" s="7" t="inlineStr">
        <is>
          <t>국민연금 기준소득월액 하한액</t>
        </is>
      </c>
      <c r="B4" s="10" t="n">
        <v>400000</v>
      </c>
      <c r="C4" s="9" t="inlineStr">
        <is>
          <t>2026.7~2027.6 적용분</t>
        </is>
      </c>
    </row>
    <row r="5">
      <c r="A5" s="7" t="inlineStr">
        <is>
          <t>건강보험료율(근로자)</t>
        </is>
      </c>
      <c r="B5" s="8" t="n">
        <v>0.03595</v>
      </c>
      <c r="C5" s="9" t="inlineStr">
        <is>
          <t>전체 7.19%의 절반</t>
        </is>
      </c>
    </row>
    <row r="6">
      <c r="A6" s="7" t="inlineStr">
        <is>
          <t>장기요양보험료율</t>
        </is>
      </c>
      <c r="B6" s="8" t="n">
        <v>0.1295</v>
      </c>
      <c r="C6" s="9" t="inlineStr">
        <is>
          <t>건강보험료 대비 비율</t>
        </is>
      </c>
    </row>
    <row r="7">
      <c r="A7" s="7" t="inlineStr">
        <is>
          <t>고용보험료율(근로자)</t>
        </is>
      </c>
      <c r="B7" s="8" t="n">
        <v>0.008999999999999999</v>
      </c>
      <c r="C7" s="9" t="inlineStr">
        <is>
          <t>2026년 동결</t>
        </is>
      </c>
    </row>
    <row r="8">
      <c r="A8" s="7" t="inlineStr">
        <is>
          <t>근로소득 간이세액 근사율</t>
        </is>
      </c>
      <c r="B8" s="8" t="n">
        <v>0.036</v>
      </c>
      <c r="C8" s="9" t="inlineStr">
        <is>
          <t>과세대상 급여 대비 근사치(부양가족 1인 기준 추정) — 실제는 국세청 홈택스 간이세액표를 반드시 조회</t>
        </is>
      </c>
    </row>
    <row r="9">
      <c r="A9" s="7" t="inlineStr">
        <is>
          <t>지방소득세율</t>
        </is>
      </c>
      <c r="B9" s="8" t="n">
        <v>0.1</v>
      </c>
      <c r="C9" s="9" t="inlineStr">
        <is>
          <t>소득세(근로소득세)의 10%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18" customWidth="1" min="4" max="4"/>
  </cols>
  <sheetData>
    <row r="1">
      <c r="A1" s="1" t="inlineStr">
        <is>
          <t>급여명세서</t>
        </is>
      </c>
    </row>
    <row r="3">
      <c r="A3" s="11" t="inlineStr">
        <is>
          <t>성명</t>
        </is>
      </c>
      <c r="B3" s="12" t="inlineStr">
        <is>
          <t>홍길동</t>
        </is>
      </c>
      <c r="C3" s="11" t="inlineStr">
        <is>
          <t>귀속연월</t>
        </is>
      </c>
      <c r="D3" s="12" t="inlineStr">
        <is>
          <t>2026-09</t>
        </is>
      </c>
    </row>
    <row r="5">
      <c r="A5" s="13" t="inlineStr">
        <is>
          <t>지급 항목</t>
        </is>
      </c>
      <c r="B5" s="14" t="n"/>
      <c r="C5" s="13" t="inlineStr">
        <is>
          <t>공제 항목</t>
        </is>
      </c>
      <c r="D5" s="14" t="n"/>
    </row>
    <row r="6">
      <c r="A6" s="11" t="inlineStr">
        <is>
          <t>기본급</t>
        </is>
      </c>
      <c r="B6" s="15" t="n">
        <v>3000000</v>
      </c>
      <c r="C6" s="11" t="inlineStr">
        <is>
          <t>국민연금</t>
        </is>
      </c>
      <c r="D6" s="16">
        <f>ROUND(MIN(MAX($B$12,'기준표(2026)'!$B$4),'기준표(2026)'!$B$3)*'기준표(2026)'!$B$2,0)</f>
        <v/>
      </c>
    </row>
    <row r="7">
      <c r="A7" s="11" t="inlineStr">
        <is>
          <t>연장근로수당</t>
        </is>
      </c>
      <c r="B7" s="15" t="n">
        <v>200000</v>
      </c>
      <c r="C7" s="11" t="inlineStr">
        <is>
          <t>건강보험</t>
        </is>
      </c>
      <c r="D7" s="16">
        <f>ROUND($B$12*'기준표(2026)'!$B$5,0)</f>
        <v/>
      </c>
    </row>
    <row r="8">
      <c r="A8" s="11" t="inlineStr">
        <is>
          <t>야간근로수당</t>
        </is>
      </c>
      <c r="B8" s="15" t="n">
        <v>0</v>
      </c>
      <c r="C8" s="11" t="inlineStr">
        <is>
          <t>장기요양보험</t>
        </is>
      </c>
      <c r="D8" s="16">
        <f>ROUND(D7*'기준표(2026)'!$B$6,0)</f>
        <v/>
      </c>
    </row>
    <row r="9">
      <c r="A9" s="11" t="inlineStr">
        <is>
          <t>휴일근로수당</t>
        </is>
      </c>
      <c r="B9" s="15" t="n">
        <v>0</v>
      </c>
      <c r="C9" s="11" t="inlineStr">
        <is>
          <t>고용보험</t>
        </is>
      </c>
      <c r="D9" s="16">
        <f>ROUND($B$12*'기준표(2026)'!$B$7,0)</f>
        <v/>
      </c>
    </row>
    <row r="10">
      <c r="A10" s="11" t="inlineStr">
        <is>
          <t>직책수당</t>
        </is>
      </c>
      <c r="B10" s="15" t="n">
        <v>100000</v>
      </c>
      <c r="C10" s="11" t="inlineStr">
        <is>
          <t>근로소득세(간이세액 근사)</t>
        </is>
      </c>
      <c r="D10" s="16">
        <f>ROUND($B$12*'기준표(2026)'!$B$8,0)</f>
        <v/>
      </c>
    </row>
    <row r="11">
      <c r="A11" s="11" t="inlineStr">
        <is>
          <t>기타수당</t>
        </is>
      </c>
      <c r="B11" s="15" t="n">
        <v>0</v>
      </c>
      <c r="C11" s="11" t="inlineStr">
        <is>
          <t>지방소득세</t>
        </is>
      </c>
      <c r="D11" s="16">
        <f>ROUND(D10*'기준표(2026)'!$B$9,0)</f>
        <v/>
      </c>
    </row>
    <row r="12">
      <c r="A12" s="17" t="inlineStr">
        <is>
          <t>지급총액</t>
        </is>
      </c>
      <c r="B12" s="16">
        <f>SUM(B6:B11)</f>
        <v/>
      </c>
      <c r="C12" s="17" t="inlineStr">
        <is>
          <t>공제총액</t>
        </is>
      </c>
      <c r="D12" s="16">
        <f>SUM(D6:D11)</f>
        <v/>
      </c>
    </row>
    <row r="14">
      <c r="A14" s="17" t="inlineStr">
        <is>
          <t>차인지급액(실수령액)</t>
        </is>
      </c>
      <c r="D14" s="16">
        <f>B12-D12</f>
        <v/>
      </c>
    </row>
    <row r="16" ht="30" customHeight="1">
      <c r="A16" s="5" t="inlineStr">
        <is>
          <t>※ 근로소득세는 부양가족 수·비과세액에 따라 달라지는 간이세액표 근사치입니다. 실제 원천징수액은 국세청 홈택스 '근로소득 간이세액표'에서 정확히 조회하세요.</t>
        </is>
      </c>
    </row>
  </sheetData>
  <mergeCells count="3">
    <mergeCell ref="A1:D1"/>
    <mergeCell ref="A14:C14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2026-09-11T21:23:16Z</dcterms:created>
  <dcterms:modified xsi:type="dcterms:W3CDTF">2026-09-11T21:23:16Z</dcterms:modified>
</cp:coreProperties>
</file>