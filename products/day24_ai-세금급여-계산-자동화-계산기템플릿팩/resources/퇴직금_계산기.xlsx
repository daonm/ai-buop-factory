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면책조항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"/>
  </numFmts>
  <fonts count="5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b val="1"/>
      <color rgb="00262C3D"/>
    </font>
    <font>
      <name val="맑은 고딕"/>
    </font>
    <font>
      <name val="맑은 고딕"/>
      <i val="1"/>
      <color rgb="00565F72"/>
      <sz val="9"/>
    </font>
  </fonts>
  <fills count="4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2" borderId="1" applyAlignment="1" pivotButton="0" quotePrefix="0" xfId="0">
      <alignment horizontal="right"/>
    </xf>
    <xf numFmtId="0" fontId="4" fillId="0" borderId="0" applyAlignment="1" pivotButton="0" quotePrefix="0" xfId="0">
      <alignment vertical="center" wrapText="1"/>
    </xf>
    <xf numFmtId="1" fontId="3" fillId="2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퇴직금 계산기 (근로기준법·근로자퇴직급여보장법 기준)</t>
        </is>
      </c>
    </row>
    <row r="4">
      <c r="B4" s="2" t="inlineStr">
        <is>
          <t>⚠ 사용 전 꼭 읽어주세요</t>
        </is>
      </c>
    </row>
    <row r="5" ht="90" customHeight="1">
      <c r="B5" s="3" t="inlineStr">
        <is>
          <t>본 계산기는 세금·보험료 예상치를 미리 가늠해보는 참고용 도구입니다. 세무 상담이나 신고 대행을 대신하지 않으며, 실제 신고·납부 금액과 다를 수 있습니다. 정확한 금액은 국민연금공단·국민건강보험공단·근로복지공단 또는 국세청 홈택스, 필요시 세무사와 반드시 다시 확인하세요. (기준: 2026년 9월 확인)</t>
        </is>
      </c>
    </row>
    <row r="7">
      <c r="B7" s="2" t="inlineStr">
        <is>
          <t>사용법</t>
        </is>
      </c>
    </row>
    <row r="8">
      <c r="B8" s="4" t="inlineStr">
        <is>
          <t>① '계산기' 시트로 이동 → ② 노란색 칸에만 숫자를 입력 → ③ 올리브색 칸에서 결과 확인</t>
        </is>
      </c>
    </row>
    <row r="9" ht="30" customHeight="1">
      <c r="B9" s="5" t="inlineStr">
        <is>
          <t>회색 '기준표' 시트는 계산에 사용되는 요율표입니다. 요율이 바뀌면 이 시트 숫자만 교체하면 전체 계산기가 자동으로 갱신됩니다.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퇴직금 계산기</t>
        </is>
      </c>
    </row>
    <row r="2"/>
    <row r="3">
      <c r="A3" s="6" t="inlineStr">
        <is>
          <t>① 평균임금 계산에 필요한 값을 입력하세요</t>
        </is>
      </c>
    </row>
    <row r="4">
      <c r="A4" s="7" t="inlineStr">
        <is>
          <t>퇴직일 이전 3개월 급여 총액</t>
        </is>
      </c>
      <c r="B4" s="8" t="n">
        <v>9000000</v>
      </c>
      <c r="C4" s="9" t="inlineStr">
        <is>
          <t>기본급 + 각종 고정수당 + 연장·야간·휴일근로수당 등, 3개월 합계</t>
        </is>
      </c>
    </row>
    <row r="5">
      <c r="A5" s="7" t="inlineStr">
        <is>
          <t>연간 상여금 총액</t>
        </is>
      </c>
      <c r="B5" s="8" t="n">
        <v>3000000</v>
      </c>
      <c r="C5" s="9" t="inlineStr">
        <is>
          <t>연간 지급분의 3/12만 평균임금에 반영됩니다</t>
        </is>
      </c>
    </row>
    <row r="6">
      <c r="A6" s="7" t="inlineStr">
        <is>
          <t>연간 미사용 연차수당 총액</t>
        </is>
      </c>
      <c r="B6" s="8" t="n">
        <v>1000000</v>
      </c>
      <c r="C6" s="9" t="inlineStr">
        <is>
          <t>연간 지급분의 3/12만 평균임금에 반영됩니다</t>
        </is>
      </c>
    </row>
    <row r="7">
      <c r="A7" s="7" t="inlineStr">
        <is>
          <t>위 3개월의 총 일수(달력일)</t>
        </is>
      </c>
      <c r="B7" s="10" t="n">
        <v>92</v>
      </c>
      <c r="C7" s="9" t="inlineStr">
        <is>
          <t>예: 6~8월 퇴직이면 30+31+31=92일</t>
        </is>
      </c>
    </row>
    <row r="8">
      <c r="A8" s="7" t="inlineStr">
        <is>
          <t>총 재직일수</t>
        </is>
      </c>
      <c r="B8" s="10" t="n">
        <v>1460</v>
      </c>
      <c r="C8" s="9" t="inlineStr">
        <is>
          <t>입사일부터 퇴직일까지 전체 일수(달력일 기준)</t>
        </is>
      </c>
    </row>
    <row r="9"/>
    <row r="10">
      <c r="A10" s="6" t="inlineStr">
        <is>
          <t>② 계산 결과</t>
        </is>
      </c>
    </row>
    <row r="11">
      <c r="A11" s="7" t="inlineStr">
        <is>
          <t>평균임금 산정용 임금 총액</t>
        </is>
      </c>
      <c r="B11" s="11">
        <f>B4+B5*3/12+B6*3/12</f>
        <v/>
      </c>
    </row>
    <row r="12">
      <c r="A12" s="7" t="inlineStr">
        <is>
          <t>1일 평균임금</t>
        </is>
      </c>
      <c r="B12" s="11">
        <f>ROUND(B11/B7,0)</f>
        <v/>
      </c>
    </row>
    <row r="13">
      <c r="A13" s="7" t="inlineStr">
        <is>
          <t>1일 통상임금(참고 비교용, 별도 입력)</t>
        </is>
      </c>
      <c r="B13" s="8" t="n">
        <v>0</v>
      </c>
      <c r="C13" s="9" t="inlineStr">
        <is>
          <t>통상임금이 평균임금보다 높으면 통상임금을 기준으로 계산합니다(둘 중 큰 값 적용)</t>
        </is>
      </c>
    </row>
    <row r="14">
      <c r="A14" s="7" t="inlineStr">
        <is>
          <t>적용 1일 임금(평균임금과 통상임금 중 큰 값)</t>
        </is>
      </c>
      <c r="B14" s="11">
        <f>MAX(B12,B13)</f>
        <v/>
      </c>
    </row>
    <row r="15">
      <c r="A15" s="6" t="inlineStr">
        <is>
          <t>예상 퇴직금</t>
        </is>
      </c>
      <c r="B15" s="11">
        <f>ROUND(B14*30*(B8/365),0)</f>
        <v/>
      </c>
      <c r="C15" s="9" t="inlineStr">
        <is>
          <t>퇴직금 = 1일 임금 × 30일 × (재직일수 ÷ 365)</t>
        </is>
      </c>
    </row>
    <row r="16"/>
    <row r="17">
      <c r="A17" s="7" t="inlineStr">
        <is>
          <t>③ 참고 — 근속연수 환산</t>
        </is>
      </c>
    </row>
    <row r="18">
      <c r="A18" s="7" t="inlineStr">
        <is>
          <t>근속연수(년, 참고용)</t>
        </is>
      </c>
      <c r="B18" s="12">
        <f>ROUND(B8/365,1)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2026-09-11T21:23:16Z</dcterms:created>
  <dcterms:modified xsi:type="dcterms:W3CDTF">2026-09-11T21:23:16Z</dcterms:modified>
</cp:coreProperties>
</file>