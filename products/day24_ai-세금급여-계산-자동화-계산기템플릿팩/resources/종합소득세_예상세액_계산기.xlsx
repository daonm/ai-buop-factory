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면책조항" sheetId="1" state="visible" r:id="rId1"/>
    <sheet name="세율표(2026)" sheetId="2" state="visible" r:id="rId2"/>
    <sheet name="계산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6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b val="1"/>
      <color rgb="00262C3D"/>
    </font>
    <font>
      <name val="맑은 고딕"/>
    </font>
    <font>
      <name val="맑은 고딕"/>
      <i val="1"/>
      <color rgb="00565F72"/>
      <sz val="9"/>
    </font>
    <font>
      <name val="맑은 고딕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2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164" fontId="3" fillId="0" borderId="1" pivotButton="0" quotePrefix="0" xfId="0"/>
    <xf numFmtId="10" fontId="3" fillId="0" borderId="1" pivotButton="0" quotePrefix="0" xfId="0"/>
    <xf numFmtId="0" fontId="4" fillId="0" borderId="1" pivotButton="0" quotePrefix="0" xfId="0"/>
    <xf numFmtId="49" fontId="3" fillId="0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3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10" fontId="2" fillId="4" borderId="1" applyAlignment="1" pivotButton="0" quotePrefix="0" xfId="0">
      <alignment horizontal="right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종합소득세 예상세액 계산기 (2026년 귀속 기준)</t>
        </is>
      </c>
    </row>
    <row r="4">
      <c r="B4" s="2" t="inlineStr">
        <is>
          <t>⚠ 사용 전 꼭 읽어주세요</t>
        </is>
      </c>
    </row>
    <row r="5" ht="90" customHeight="1">
      <c r="B5" s="3" t="inlineStr">
        <is>
          <t>본 계산기는 세금·보험료 예상치를 미리 가늠해보는 참고용 도구입니다. 세무 상담이나 신고 대행을 대신하지 않으며, 실제 신고·납부 금액과 다를 수 있습니다. 정확한 금액은 국민연금공단·국민건강보험공단·근로복지공단 또는 국세청 홈택스, 필요시 세무사와 반드시 다시 확인하세요. (기준: 2026년 9월 확인)</t>
        </is>
      </c>
    </row>
    <row r="7">
      <c r="B7" s="2" t="inlineStr">
        <is>
          <t>사용법</t>
        </is>
      </c>
    </row>
    <row r="8">
      <c r="B8" s="4" t="inlineStr">
        <is>
          <t>① '계산기' 시트로 이동 → ② 노란색 칸에만 숫자를 입력 → ③ 올리브색 칸에서 결과 확인</t>
        </is>
      </c>
    </row>
    <row r="9" ht="30" customHeight="1">
      <c r="B9" s="5" t="inlineStr">
        <is>
          <t>회색 '기준표' 시트는 계산에 사용되는 요율표입니다. 요율이 바뀌면 이 시트 숫자만 교체하면 전체 계산기가 자동으로 갱신됩니다.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6" customWidth="1" min="4" max="4"/>
    <col width="30" customWidth="1" min="5" max="5"/>
  </cols>
  <sheetData>
    <row r="1">
      <c r="A1" s="6" t="inlineStr">
        <is>
          <t>과세표준 이상</t>
        </is>
      </c>
      <c r="B1" s="6" t="inlineStr">
        <is>
          <t>과세표준 미만</t>
        </is>
      </c>
      <c r="C1" s="6" t="inlineStr">
        <is>
          <t>세율</t>
        </is>
      </c>
      <c r="D1" s="6" t="inlineStr">
        <is>
          <t>누진공제액</t>
        </is>
      </c>
      <c r="E1" s="6" t="inlineStr">
        <is>
          <t>비고</t>
        </is>
      </c>
    </row>
    <row r="2">
      <c r="A2" s="7" t="n">
        <v>0</v>
      </c>
      <c r="B2" s="7" t="n">
        <v>14000000</v>
      </c>
      <c r="C2" s="8" t="n">
        <v>0.06</v>
      </c>
      <c r="D2" s="7" t="n">
        <v>0</v>
      </c>
      <c r="E2" s="9" t="inlineStr"/>
    </row>
    <row r="3">
      <c r="A3" s="7" t="n">
        <v>14000000</v>
      </c>
      <c r="B3" s="7" t="n">
        <v>50000000</v>
      </c>
      <c r="C3" s="8" t="n">
        <v>0.15</v>
      </c>
      <c r="D3" s="7" t="n">
        <v>1260000</v>
      </c>
      <c r="E3" s="9" t="inlineStr"/>
    </row>
    <row r="4">
      <c r="A4" s="7" t="n">
        <v>50000000</v>
      </c>
      <c r="B4" s="7" t="n">
        <v>88000000</v>
      </c>
      <c r="C4" s="8" t="n">
        <v>0.24</v>
      </c>
      <c r="D4" s="7" t="n">
        <v>5760000</v>
      </c>
      <c r="E4" s="9" t="inlineStr"/>
    </row>
    <row r="5">
      <c r="A5" s="7" t="n">
        <v>88000000</v>
      </c>
      <c r="B5" s="7" t="n">
        <v>150000000</v>
      </c>
      <c r="C5" s="8" t="n">
        <v>0.35</v>
      </c>
      <c r="D5" s="7" t="n">
        <v>15440000</v>
      </c>
      <c r="E5" s="9" t="inlineStr"/>
    </row>
    <row r="6">
      <c r="A6" s="7" t="n">
        <v>150000000</v>
      </c>
      <c r="B6" s="7" t="n">
        <v>300000000</v>
      </c>
      <c r="C6" s="8" t="n">
        <v>0.38</v>
      </c>
      <c r="D6" s="7" t="n">
        <v>19940000</v>
      </c>
      <c r="E6" s="9" t="inlineStr"/>
    </row>
    <row r="7">
      <c r="A7" s="7" t="n">
        <v>300000000</v>
      </c>
      <c r="B7" s="7" t="n">
        <v>500000000</v>
      </c>
      <c r="C7" s="8" t="n">
        <v>0.4</v>
      </c>
      <c r="D7" s="7" t="n">
        <v>25940000</v>
      </c>
      <c r="E7" s="9" t="inlineStr"/>
    </row>
    <row r="8">
      <c r="A8" s="7" t="n">
        <v>500000000</v>
      </c>
      <c r="B8" s="7" t="n">
        <v>1000000000</v>
      </c>
      <c r="C8" s="8" t="n">
        <v>0.42</v>
      </c>
      <c r="D8" s="7" t="n">
        <v>35940000</v>
      </c>
      <c r="E8" s="9" t="inlineStr"/>
    </row>
    <row r="9">
      <c r="A9" s="7" t="n">
        <v>1000000000</v>
      </c>
      <c r="B9" s="10" t="inlineStr">
        <is>
          <t>초과</t>
        </is>
      </c>
      <c r="C9" s="8" t="n">
        <v>0.45</v>
      </c>
      <c r="D9" s="7" t="n">
        <v>65940000</v>
      </c>
      <c r="E9" s="9" t="inlineStr">
        <is>
          <t>10억원 초과</t>
        </is>
      </c>
    </row>
    <row r="11">
      <c r="A11" s="11" t="inlineStr">
        <is>
          <t>산출세액 = 과세표준 × 세율 − 누진공제액 (소득세법 제55조, 8단계 누진세율)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6" customWidth="1" min="3" max="3"/>
  </cols>
  <sheetData>
    <row r="1">
      <c r="A1" s="1" t="inlineStr">
        <is>
          <t>종합소득세 예상세액 계산기</t>
        </is>
      </c>
    </row>
    <row r="2"/>
    <row r="3">
      <c r="A3" s="12" t="inlineStr">
        <is>
          <t>① 연간 소득 정보를 입력하세요</t>
        </is>
      </c>
    </row>
    <row r="4">
      <c r="A4" s="13" t="inlineStr">
        <is>
          <t>연간 총수입금액(매출·연봉 등)</t>
        </is>
      </c>
      <c r="B4" s="14" t="n">
        <v>60000000</v>
      </c>
    </row>
    <row r="5">
      <c r="A5" s="13" t="inlineStr">
        <is>
          <t>필요경비(사업소득자) 또는 근로소득공제</t>
        </is>
      </c>
      <c r="B5" s="14" t="n">
        <v>20000000</v>
      </c>
    </row>
    <row r="6">
      <c r="A6" s="13" t="inlineStr">
        <is>
          <t>각종 소득공제 합계(인적공제·연금저축 등)</t>
        </is>
      </c>
      <c r="B6" s="14" t="n">
        <v>5000000</v>
      </c>
    </row>
    <row r="7"/>
    <row r="8">
      <c r="A8" s="12" t="inlineStr">
        <is>
          <t>② 계산 결과</t>
        </is>
      </c>
    </row>
    <row r="9">
      <c r="A9" s="13" t="inlineStr">
        <is>
          <t>과세표준</t>
        </is>
      </c>
      <c r="B9" s="15">
        <f>MAX(B4-B5-B6,0)</f>
        <v/>
      </c>
    </row>
    <row r="10">
      <c r="A10" s="13" t="inlineStr">
        <is>
          <t>적용 세율</t>
        </is>
      </c>
      <c r="B10" s="16">
        <f>VLOOKUP(B9,'세율표(2026)'!A2:D9,3,TRUE)</f>
        <v/>
      </c>
    </row>
    <row r="11">
      <c r="A11" s="13" t="inlineStr">
        <is>
          <t>누진공제액</t>
        </is>
      </c>
      <c r="B11" s="15">
        <f>VLOOKUP(B9,'세율표(2026)'!A2:D9,4,TRUE)</f>
        <v/>
      </c>
    </row>
    <row r="12">
      <c r="A12" s="13" t="inlineStr">
        <is>
          <t>산출세액(종합소득세)</t>
        </is>
      </c>
      <c r="B12" s="15">
        <f>MAX(ROUND(B9*B10-B11,0),0)</f>
        <v/>
      </c>
    </row>
    <row r="13">
      <c r="A13" s="13" t="inlineStr">
        <is>
          <t>지방소득세(산출세액의 10%)</t>
        </is>
      </c>
      <c r="B13" s="15">
        <f>ROUND(B12*0.1,0)</f>
        <v/>
      </c>
    </row>
    <row r="14">
      <c r="A14" s="12" t="inlineStr">
        <is>
          <t>예상 납부세액 합계</t>
        </is>
      </c>
      <c r="B14" s="15">
        <f>B12+B13</f>
        <v/>
      </c>
      <c r="C14" s="17" t="inlineStr">
        <is>
          <t>기납부세액(원천징수액 등)은 반영되지 않은 산출세액 기준입니다</t>
        </is>
      </c>
    </row>
    <row r="15"/>
    <row r="16">
      <c r="A16" s="12" t="inlineStr">
        <is>
          <t>③ 참고 — 3.3% 원천징수 프리랜서 환급 예상</t>
        </is>
      </c>
    </row>
    <row r="17">
      <c r="A17" s="13" t="inlineStr">
        <is>
          <t>연간 원천징수 합계(수입 × 3.3%로 이미 뗀 금액)</t>
        </is>
      </c>
      <c r="B17" s="14" t="n">
        <v>1980000</v>
      </c>
    </row>
    <row r="18">
      <c r="A18" s="13" t="inlineStr">
        <is>
          <t>환급(+) 또는 추가납부(−) 예상액</t>
        </is>
      </c>
      <c r="B18" s="15">
        <f>B17-B14</f>
        <v/>
      </c>
      <c r="C18" s="17" t="inlineStr">
        <is>
          <t>양수면 환급 예상, 음수면 5월 종합소득세 신고 시 추가 납부 예상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2026-09-11T21:23:16Z</dcterms:created>
  <dcterms:modified xsi:type="dcterms:W3CDTF">2026-09-11T21:23:16Z</dcterms:modified>
</cp:coreProperties>
</file>