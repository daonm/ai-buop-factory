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면책조항" sheetId="1" state="visible" r:id="rId1"/>
    <sheet name="기준표(2026)" sheetId="2" state="visible" r:id="rId2"/>
    <sheet name="계산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6">
    <font>
      <name val="Calibri"/>
      <family val="2"/>
      <color theme="1"/>
      <sz val="11"/>
      <scheme val="minor"/>
    </font>
    <font>
      <name val="맑은 고딕"/>
      <b val="1"/>
      <color rgb="00262C3D"/>
      <sz val="14"/>
    </font>
    <font>
      <name val="맑은 고딕"/>
      <b val="1"/>
      <color rgb="00262C3D"/>
    </font>
    <font>
      <name val="맑은 고딕"/>
    </font>
    <font>
      <name val="맑은 고딕"/>
      <i val="1"/>
      <color rgb="00565F72"/>
      <sz val="9"/>
    </font>
    <font>
      <name val="맑은 고딕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87F1F"/>
      </patternFill>
    </fill>
    <fill>
      <patternFill patternType="solid">
        <fgColor rgb="00FFF6D9"/>
      </patternFill>
    </fill>
    <fill>
      <patternFill patternType="solid">
        <fgColor rgb="00E3E6CE"/>
      </patternFill>
    </fill>
  </fills>
  <borders count="2">
    <border>
      <left/>
      <right/>
      <top/>
      <bottom/>
      <diagonal/>
    </border>
    <border>
      <left style="thin">
        <color rgb="00D9DACB"/>
      </left>
      <right style="thin">
        <color rgb="00D9DACB"/>
      </right>
      <top style="thin">
        <color rgb="00D9DACB"/>
      </top>
      <bottom style="thin">
        <color rgb="00D9DAC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0" fontId="3" fillId="0" borderId="1" pivotButton="0" quotePrefix="0" xfId="0"/>
    <xf numFmtId="0" fontId="4" fillId="0" borderId="1" applyAlignment="1" pivotButton="0" quotePrefix="0" xfId="0">
      <alignment wrapText="1"/>
    </xf>
    <xf numFmtId="164" fontId="3" fillId="0" borderId="1" pivotButton="0" quotePrefix="0" xfId="0"/>
    <xf numFmtId="0" fontId="4" fillId="0" borderId="1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3" fillId="3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4대보험료 계산기 (2026년 기준)</t>
        </is>
      </c>
    </row>
    <row r="4">
      <c r="B4" s="2" t="inlineStr">
        <is>
          <t>⚠ 사용 전 꼭 읽어주세요</t>
        </is>
      </c>
    </row>
    <row r="5" ht="90" customHeight="1">
      <c r="B5" s="3" t="inlineStr">
        <is>
          <t>본 계산기는 세금·보험료 예상치를 미리 가늠해보는 참고용 도구입니다. 세무 상담이나 신고 대행을 대신하지 않으며, 실제 신고·납부 금액과 다를 수 있습니다. 정확한 금액은 국민연금공단·국민건강보험공단·근로복지공단 또는 국세청 홈택스, 필요시 세무사와 반드시 다시 확인하세요. (기준: 2026년 9월 확인)</t>
        </is>
      </c>
    </row>
    <row r="7">
      <c r="B7" s="2" t="inlineStr">
        <is>
          <t>사용법</t>
        </is>
      </c>
    </row>
    <row r="8">
      <c r="B8" s="4" t="inlineStr">
        <is>
          <t>① '계산기' 시트로 이동 → ② 노란색 칸에만 숫자를 입력 → ③ 올리브색 칸에서 결과 확인</t>
        </is>
      </c>
    </row>
    <row r="9" ht="30" customHeight="1">
      <c r="B9" s="5" t="inlineStr">
        <is>
          <t>회색 '기준표' 시트는 계산에 사용되는 요율표입니다. 요율이 바뀌면 이 시트 숫자만 교체하면 전체 계산기가 자동으로 갱신됩니다.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6" customWidth="1" min="3" max="3"/>
  </cols>
  <sheetData>
    <row r="1">
      <c r="A1" s="6" t="inlineStr">
        <is>
          <t>항목</t>
        </is>
      </c>
      <c r="B1" s="6" t="inlineStr">
        <is>
          <t>값</t>
        </is>
      </c>
      <c r="C1" s="6" t="inlineStr">
        <is>
          <t>비고</t>
        </is>
      </c>
    </row>
    <row r="2">
      <c r="A2" s="7" t="inlineStr">
        <is>
          <t>국민연금 요율(근로자)</t>
        </is>
      </c>
      <c r="B2" s="8" t="n">
        <v>0.0475</v>
      </c>
      <c r="C2" s="9" t="inlineStr">
        <is>
          <t>전체 9.5%의 절반, 사업주와 각 4.75%씩 부담</t>
        </is>
      </c>
    </row>
    <row r="3">
      <c r="A3" s="7" t="inlineStr">
        <is>
          <t>국민연금 요율(사업주)</t>
        </is>
      </c>
      <c r="B3" s="8" t="n">
        <v>0.0475</v>
      </c>
      <c r="C3" s="9" t="inlineStr">
        <is>
          <t>근로자와 동일 부담</t>
        </is>
      </c>
    </row>
    <row r="4">
      <c r="A4" s="7" t="inlineStr">
        <is>
          <t>국민연금 기준소득월액 상한액</t>
        </is>
      </c>
      <c r="B4" s="10" t="n">
        <v>6370000</v>
      </c>
      <c r="C4" s="9" t="inlineStr">
        <is>
          <t>2026.7~2027.6 적용, 국민연금공단 고시 기준 재확인</t>
        </is>
      </c>
    </row>
    <row r="5">
      <c r="A5" s="7" t="inlineStr">
        <is>
          <t>국민연금 기준소득월액 하한액</t>
        </is>
      </c>
      <c r="B5" s="10" t="n">
        <v>400000</v>
      </c>
      <c r="C5" s="9" t="inlineStr">
        <is>
          <t>2026.7~2027.6 적용, 국민연금공단 고시 기준 재확인</t>
        </is>
      </c>
    </row>
    <row r="6">
      <c r="A6" s="7" t="inlineStr">
        <is>
          <t>건강보험료율(근로자)</t>
        </is>
      </c>
      <c r="B6" s="8" t="n">
        <v>0.03595</v>
      </c>
      <c r="C6" s="9" t="inlineStr">
        <is>
          <t>전체 7.19%의 절반</t>
        </is>
      </c>
    </row>
    <row r="7">
      <c r="A7" s="7" t="inlineStr">
        <is>
          <t>건강보험료율(사업주)</t>
        </is>
      </c>
      <c r="B7" s="8" t="n">
        <v>0.03595</v>
      </c>
      <c r="C7" s="9" t="inlineStr">
        <is>
          <t>근로자와 동일 부담</t>
        </is>
      </c>
    </row>
    <row r="8">
      <c r="A8" s="7" t="inlineStr">
        <is>
          <t>장기요양보험료율</t>
        </is>
      </c>
      <c r="B8" s="8" t="n">
        <v>0.1295</v>
      </c>
      <c r="C8" s="9" t="inlineStr">
        <is>
          <t>건강보험료에 곱하는 요율(건강보험료 대비 비율)</t>
        </is>
      </c>
    </row>
    <row r="9">
      <c r="A9" s="7" t="inlineStr">
        <is>
          <t>고용보험료율(근로자, 실업급여)</t>
        </is>
      </c>
      <c r="B9" s="8" t="n">
        <v>0.008999999999999999</v>
      </c>
      <c r="C9" s="9" t="inlineStr">
        <is>
          <t>2026년 동결</t>
        </is>
      </c>
    </row>
    <row r="10">
      <c r="A10" s="7" t="inlineStr">
        <is>
          <t>고용보험료율(사업주, 실업급여)</t>
        </is>
      </c>
      <c r="B10" s="8" t="n">
        <v>0.008999999999999999</v>
      </c>
      <c r="C10" s="9" t="inlineStr">
        <is>
          <t>사업주는 이 외에 고용안정·직업능력개발사업 요율 추가(사업장 규모별 상이)</t>
        </is>
      </c>
    </row>
    <row r="11">
      <c r="A11" s="7" t="inlineStr">
        <is>
          <t>산재보험료율(사업주)</t>
        </is>
      </c>
      <c r="B11" s="11" t="inlineStr">
        <is>
          <t>업종별 상이</t>
        </is>
      </c>
      <c r="C11" s="9" t="inlineStr">
        <is>
          <t>업종별로 상이(전액 사업주 부담) — 근로복지공단 요율표에서 업종 확인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6" customWidth="1" min="3" max="3"/>
  </cols>
  <sheetData>
    <row r="1">
      <c r="A1" s="1" t="inlineStr">
        <is>
          <t>4대보험료 계산기</t>
        </is>
      </c>
    </row>
    <row r="2"/>
    <row r="3">
      <c r="A3" s="12" t="inlineStr">
        <is>
          <t>① 월 급여(보수월액)를 입력하세요</t>
        </is>
      </c>
    </row>
    <row r="4">
      <c r="A4" s="13" t="inlineStr">
        <is>
          <t>월 급여(세전, 보수월액)</t>
        </is>
      </c>
      <c r="B4" s="14" t="n">
        <v>3000000</v>
      </c>
    </row>
    <row r="5"/>
    <row r="6">
      <c r="A6" s="12" t="inlineStr">
        <is>
          <t>② 근로자 부담분</t>
        </is>
      </c>
    </row>
    <row r="7">
      <c r="A7" s="13" t="inlineStr">
        <is>
          <t>국민연금 기준소득월액 (상·하한 적용)</t>
        </is>
      </c>
      <c r="B7" s="15">
        <f>MIN(MAX(B4,'기준표(2026)'!B5),'기준표(2026)'!B4)</f>
        <v/>
      </c>
      <c r="C7" s="16" t="inlineStr">
        <is>
          <t>상한 637만원, 하한 40만원 적용</t>
        </is>
      </c>
    </row>
    <row r="8">
      <c r="A8" s="13" t="inlineStr">
        <is>
          <t>국민연금(근로자)</t>
        </is>
      </c>
      <c r="B8" s="15">
        <f>ROUND(B7*'기준표(2026)'!B2,0)</f>
        <v/>
      </c>
    </row>
    <row r="9">
      <c r="A9" s="13" t="inlineStr">
        <is>
          <t>건강보험료(근로자)</t>
        </is>
      </c>
      <c r="B9" s="15">
        <f>ROUND(B4*'기준표(2026)'!B6,0)</f>
        <v/>
      </c>
    </row>
    <row r="10">
      <c r="A10" s="13" t="inlineStr">
        <is>
          <t>장기요양보험료(근로자)</t>
        </is>
      </c>
      <c r="B10" s="15">
        <f>ROUND(B9*'기준표(2026)'!B8,0)</f>
        <v/>
      </c>
    </row>
    <row r="11">
      <c r="A11" s="13" t="inlineStr">
        <is>
          <t>고용보험료(근로자, 실업급여분)</t>
        </is>
      </c>
      <c r="B11" s="15">
        <f>ROUND(B4*'기준표(2026)'!B9,0)</f>
        <v/>
      </c>
    </row>
    <row r="12">
      <c r="A12" s="12" t="inlineStr">
        <is>
          <t>근로자 부담 합계</t>
        </is>
      </c>
      <c r="B12" s="15">
        <f>SUM(B8:B11)</f>
        <v/>
      </c>
    </row>
    <row r="13">
      <c r="A13" s="13" t="inlineStr">
        <is>
          <t>세후 예상 실수령액(4대보험만 반영, 소득세 별도)</t>
        </is>
      </c>
      <c r="B13" s="15">
        <f>B4-B12</f>
        <v/>
      </c>
      <c r="C13" s="16" t="inlineStr">
        <is>
          <t>소득세·지방소득세는 미반영, 실제 급여명세서 계산기 참고</t>
        </is>
      </c>
    </row>
    <row r="14"/>
    <row r="15">
      <c r="A15" s="12" t="inlineStr">
        <is>
          <t>③ 사업주 부담분 (참고용)</t>
        </is>
      </c>
    </row>
    <row r="16">
      <c r="A16" s="13" t="inlineStr">
        <is>
          <t>국민연금(사업주)</t>
        </is>
      </c>
      <c r="B16" s="15">
        <f>ROUND(B7*'기준표(2026)'!B3,0)</f>
        <v/>
      </c>
    </row>
    <row r="17">
      <c r="A17" s="13" t="inlineStr">
        <is>
          <t>건강보험료(사업주)</t>
        </is>
      </c>
      <c r="B17" s="15">
        <f>ROUND(B4*'기준표(2026)'!B7,0)</f>
        <v/>
      </c>
    </row>
    <row r="18">
      <c r="A18" s="13" t="inlineStr">
        <is>
          <t>장기요양보험료(사업주)</t>
        </is>
      </c>
      <c r="B18" s="15">
        <f>ROUND(B17*'기준표(2026)'!B8,0)</f>
        <v/>
      </c>
    </row>
    <row r="19">
      <c r="A19" s="13" t="inlineStr">
        <is>
          <t>고용보험료(사업주, 실업급여분만)</t>
        </is>
      </c>
      <c r="B19" s="15">
        <f>ROUND(B4*'기준표(2026)'!B10,0)</f>
        <v/>
      </c>
    </row>
    <row r="20">
      <c r="A20" s="12" t="inlineStr">
        <is>
          <t>사업주 부담 합계(실업급여분+산재 제외)</t>
        </is>
      </c>
      <c r="B20" s="15">
        <f>SUM(B16:B19)</f>
        <v/>
      </c>
      <c r="C20" s="16" t="inlineStr">
        <is>
          <t>고용안정·직업능력개발사업 요율, 산재보험료는 업종별로 별도 확인 필요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2026-09-11T21:23:16Z</dcterms:created>
  <dcterms:modified xsi:type="dcterms:W3CDTF">2026-09-11T21:23:16Z</dcterms:modified>
</cp:coreProperties>
</file>