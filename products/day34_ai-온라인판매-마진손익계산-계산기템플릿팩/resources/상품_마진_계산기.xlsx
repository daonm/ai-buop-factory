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플랫폼별 수수료 기준표(2026)" sheetId="2" state="visible" r:id="rId2"/>
    <sheet name="계산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%"/>
    <numFmt numFmtId="166" formatCode="0.00&quot;배&quot;"/>
  </numFmts>
  <fonts count="9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565F72"/>
    </font>
    <font>
      <b val="1"/>
      <color rgb="FFFFFFFF"/>
    </font>
    <font>
      <i val="1"/>
      <color rgb="FF565F72"/>
    </font>
    <font>
      <b val="1"/>
    </font>
    <font>
      <b val="1"/>
      <color rgb="FF262C3D"/>
      <sz val="12"/>
    </font>
    <font>
      <color rgb="FF262C3D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3" fillId="0" borderId="0" pivotButton="0" quotePrefix="0" xfId="0"/>
    <xf numFmtId="164" fontId="2" fillId="4" borderId="0" pivotButton="0" quotePrefix="0" xfId="0"/>
    <xf numFmtId="0" fontId="6" fillId="0" borderId="0" pivotButton="0" quotePrefix="0" xfId="0"/>
    <xf numFmtId="164" fontId="7" fillId="4" borderId="0" pivotButton="0" quotePrefix="0" xfId="0"/>
    <xf numFmtId="165" fontId="2" fillId="4" borderId="0" pivotButton="0" quotePrefix="0" xfId="0"/>
    <xf numFmtId="166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상품별 마진 계산기 (2026년 기준)</t>
        </is>
      </c>
    </row>
    <row r="4">
      <c r="B4" s="2" t="inlineStr">
        <is>
          <t>⚠ 사용 전 꼭 읽어주세요</t>
        </is>
      </c>
    </row>
    <row r="5" ht="60" customHeight="1">
      <c r="B5" s="3" t="inlineStr">
        <is>
          <t>본 계산기는 마진·손익을 미리 가늠해보는 참고용 도구입니다. 세무·회계 상담을 대신하지 않으며, 실제 정산 금액과 다를 수 있습니다. 플랫폼 수수료율은 카테고리·매출등급·유입경로에 따라 달라지므로 판매 전 반드시 각 플랫폼 판매자센터의 최신 공지사항으로 다시 확인하세요. (기준: 2026년 9월 확인)</t>
        </is>
      </c>
    </row>
    <row r="7">
      <c r="B7" s="2" t="inlineStr">
        <is>
          <t>사용법</t>
        </is>
      </c>
    </row>
    <row r="8">
      <c r="B8" t="inlineStr">
        <is>
          <t>① '플랫폼별 수수료 기준표' 시트에서 내가 판매하는 플랫폼의 대략적인 수수료율을 확인</t>
        </is>
      </c>
    </row>
    <row r="9">
      <c r="B9" t="inlineStr">
        <is>
          <t>② '계산기' 시트로 이동 → 노란색 칸에만 숫자를 입력</t>
        </is>
      </c>
    </row>
    <row r="10">
      <c r="B10" t="inlineStr">
        <is>
          <t>③ 올리브색 칸에서 순마진액·마진율 결과 확인</t>
        </is>
      </c>
    </row>
    <row r="12" ht="40" customHeight="1">
      <c r="B12" s="4" t="inlineStr">
        <is>
          <t>판매가에서 플랫폼 판매수수료 → 결제수수료 → 원가 → 배송비 → 반품 손실까지 7단계를 순서대로 빼는 구조입니다. 이 계산기의 '개당 순마진'(B18)은 같은 시리즈의 손익분기점(BEP) 계산기·실질마진 계산기에도 그대로 가져다 쓰는 핵심값입니다.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</cols>
  <sheetData>
    <row r="1">
      <c r="A1" s="5" t="inlineStr">
        <is>
          <t>플랫폼</t>
        </is>
      </c>
      <c r="B1" s="5" t="inlineStr">
        <is>
          <t>수수료 구조(대략)</t>
        </is>
      </c>
      <c r="C1" s="5" t="inlineStr">
        <is>
          <t>비고</t>
        </is>
      </c>
    </row>
    <row r="2" ht="30" customHeight="1">
      <c r="A2" t="inlineStr">
        <is>
          <t>네이버 스마트스토어</t>
        </is>
      </c>
      <c r="B2" t="inlineStr">
        <is>
          <t>판매수수료 약 1~4% + 주문관리(네이버페이) 수수료 약 2~3.6%</t>
        </is>
      </c>
      <c r="C2" s="4" t="inlineStr">
        <is>
          <t>유입경로·매출등급에 따라 달라짐</t>
        </is>
      </c>
    </row>
    <row r="3" ht="30" customHeight="1">
      <c r="A3" t="inlineStr">
        <is>
          <t>쿠팡</t>
        </is>
      </c>
      <c r="B3" t="inlineStr">
        <is>
          <t>카테고리별 판매수수료 약 5~15%</t>
        </is>
      </c>
      <c r="C3" s="4" t="inlineStr">
        <is>
          <t>로켓그로스 이용 시 건당 물류비 별도</t>
        </is>
      </c>
    </row>
    <row r="4" ht="30" customHeight="1">
      <c r="A4" t="inlineStr">
        <is>
          <t>자사몰(카페24 등)</t>
        </is>
      </c>
      <c r="B4" t="inlineStr">
        <is>
          <t>PG 결제수수료 약 2~3.5% + 호스팅·솔루션 비용</t>
        </is>
      </c>
      <c r="C4" s="4" t="inlineStr">
        <is>
          <t>플랫폼 판매수수료는 없지만 광고비 비중이 커짐</t>
        </is>
      </c>
    </row>
    <row r="6">
      <c r="A6" s="6" t="inlineStr">
        <is>
          <t>※ 수수료율은 플랫폼 정책 변경으로 자주 바뀝니다. 반드시 판매자센터 최신 공지사항으로 재확인하세요.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6" customWidth="1" min="3" max="3"/>
  </cols>
  <sheetData>
    <row r="1">
      <c r="A1" s="1" t="inlineStr">
        <is>
          <t>상품별 마진 계산기</t>
        </is>
      </c>
    </row>
    <row r="3">
      <c r="A3" s="2" t="inlineStr">
        <is>
          <t>① 상품 기본 정보 입력</t>
        </is>
      </c>
    </row>
    <row r="4">
      <c r="A4" t="inlineStr">
        <is>
          <t>상품명</t>
        </is>
      </c>
      <c r="B4" s="7" t="inlineStr">
        <is>
          <t>예시상품A</t>
        </is>
      </c>
    </row>
    <row r="5">
      <c r="A5" t="inlineStr">
        <is>
          <t>판매가</t>
        </is>
      </c>
      <c r="B5" s="8" t="n">
        <v>30000</v>
      </c>
    </row>
    <row r="6">
      <c r="A6" t="inlineStr">
        <is>
          <t>원가(매입가)</t>
        </is>
      </c>
      <c r="B6" s="8" t="n">
        <v>12000</v>
      </c>
    </row>
    <row r="8">
      <c r="A8" s="2" t="inlineStr">
        <is>
          <t>② 비용률 입력 (플랫폼별 수수료 기준표 참고)</t>
        </is>
      </c>
    </row>
    <row r="9">
      <c r="A9" t="inlineStr">
        <is>
          <t>플랫폼 판매수수료율</t>
        </is>
      </c>
      <c r="B9" s="9" t="n">
        <v>0.035</v>
      </c>
    </row>
    <row r="10">
      <c r="A10" t="inlineStr">
        <is>
          <t>결제(주문관리) 수수료율</t>
        </is>
      </c>
      <c r="B10" s="9" t="n">
        <v>0.028</v>
      </c>
    </row>
    <row r="11">
      <c r="A11" t="inlineStr">
        <is>
          <t>배송비·포장비(건당)</t>
        </is>
      </c>
      <c r="B11" s="8" t="n">
        <v>3000</v>
      </c>
    </row>
    <row r="12">
      <c r="A12" t="inlineStr">
        <is>
          <t>반품·교환률</t>
        </is>
      </c>
      <c r="B12" s="9" t="n">
        <v>0.03</v>
      </c>
      <c r="C12" s="10" t="inlineStr">
        <is>
          <t>반품률만큼 원가+배송비를 손실로 미리 반영</t>
        </is>
      </c>
    </row>
    <row r="13">
      <c r="A13" t="inlineStr">
        <is>
          <t>광고비 배분액(건당, 선택)</t>
        </is>
      </c>
      <c r="B13" s="8" t="n">
        <v>0</v>
      </c>
      <c r="C13" s="10" t="inlineStr">
        <is>
          <t>광고 안 쓰면 0. 광고비 반영 실질마진은 별도 계산기 참고</t>
        </is>
      </c>
    </row>
    <row r="15">
      <c r="A15" s="2" t="inlineStr">
        <is>
          <t>③ 단계별 차감 계산</t>
        </is>
      </c>
    </row>
    <row r="16">
      <c r="A16" t="inlineStr">
        <is>
          <t>1. 판매가</t>
        </is>
      </c>
      <c r="B16" s="11">
        <f>B5</f>
        <v/>
      </c>
    </row>
    <row r="17">
      <c r="A17" t="inlineStr">
        <is>
          <t>2. 플랫폼 판매수수료</t>
        </is>
      </c>
      <c r="B17" s="11">
        <f>ROUND(B5*B9,0)</f>
        <v/>
      </c>
    </row>
    <row r="18">
      <c r="A18" t="inlineStr">
        <is>
          <t>3. 결제 수수료</t>
        </is>
      </c>
      <c r="B18" s="11">
        <f>ROUND(B5*B10,0)</f>
        <v/>
      </c>
    </row>
    <row r="19">
      <c r="A19" t="inlineStr">
        <is>
          <t>4. 원가</t>
        </is>
      </c>
      <c r="B19" s="11">
        <f>B6</f>
        <v/>
      </c>
    </row>
    <row r="20">
      <c r="A20" t="inlineStr">
        <is>
          <t>5. 배송비·포장비</t>
        </is>
      </c>
      <c r="B20" s="11">
        <f>B11</f>
        <v/>
      </c>
    </row>
    <row r="21">
      <c r="A21" t="inlineStr">
        <is>
          <t>6. 반품·교환 손실(평균 반영)</t>
        </is>
      </c>
      <c r="B21" s="11">
        <f>ROUND((B6+B11)*B12,0)</f>
        <v/>
      </c>
    </row>
    <row r="22">
      <c r="A22" t="inlineStr">
        <is>
          <t>7. 광고비 배분액</t>
        </is>
      </c>
      <c r="B22" s="11">
        <f>B13</f>
        <v/>
      </c>
    </row>
    <row r="24">
      <c r="A24" s="2" t="inlineStr">
        <is>
          <t>④ 결과</t>
        </is>
      </c>
    </row>
    <row r="25">
      <c r="A25" s="12" t="inlineStr">
        <is>
          <t>개당 순마진액</t>
        </is>
      </c>
      <c r="B25" s="13">
        <f>B16-B17-B18-B19-B20-B21-B22</f>
        <v/>
      </c>
    </row>
    <row r="26">
      <c r="A26" t="inlineStr">
        <is>
          <t>마진율(판매가 대비)</t>
        </is>
      </c>
      <c r="B26" s="14">
        <f>IFERROR(B25/B16,0)</f>
        <v/>
      </c>
    </row>
    <row r="27">
      <c r="A27" t="inlineStr">
        <is>
          <t>총 비용 대비 배수(판매가 ÷ 원가)</t>
        </is>
      </c>
      <c r="B27" s="15">
        <f>IFERROR(B16/B19,0)</f>
        <v/>
      </c>
    </row>
    <row r="29">
      <c r="A29" s="6" t="inlineStr">
        <is>
          <t>※ 이 시트의 개당 순마진(B25)을 손익분기점(BEP) 계산기·다상품 비교 계산기에 그대로 옮겨 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2026-09-21T21:24:51Z</dcterms:created>
  <dcterms:modified xsi:type="dcterms:W3CDTF">2026-09-21T21:24:51Z</dcterms:modified>
</cp:coreProperties>
</file>