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0&quot;일&quot;"/>
    <numFmt numFmtId="166" formatCode="#,##0&quot;개&quot;"/>
    <numFmt numFmtId="167" formatCode="0.0&quot;개/일&quot;"/>
  </numFmts>
  <fonts count="8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565F72"/>
    </font>
    <font>
      <b val="1"/>
      <color rgb="FF262C3D"/>
      <sz val="12"/>
    </font>
    <font>
      <b val="1"/>
      <color rgb="FFFFFFFF"/>
    </font>
    <font>
      <color rgb="FF262C3D"/>
    </font>
    <font>
      <i val="1"/>
      <color rgb="FF565F72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  <fill>
      <patternFill patternType="solid">
        <fgColor rgb="FF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0" fillId="2" borderId="0" pivotButton="0" quotePrefix="0" xfId="0"/>
    <xf numFmtId="165" fontId="0" fillId="2" borderId="0" pivotButton="0" quotePrefix="0" xfId="0"/>
    <xf numFmtId="166" fontId="4" fillId="3" borderId="0" pivotButton="0" quotePrefix="0" xfId="0"/>
    <xf numFmtId="167" fontId="2" fillId="3" borderId="0" pivotButton="0" quotePrefix="0" xfId="0"/>
    <xf numFmtId="164" fontId="2" fillId="3" borderId="0" pivotButton="0" quotePrefix="0" xfId="0"/>
    <xf numFmtId="0" fontId="3" fillId="0" borderId="0" applyAlignment="1" pivotButton="0" quotePrefix="0" xfId="0">
      <alignment wrapText="1"/>
    </xf>
    <xf numFmtId="0" fontId="2" fillId="3" borderId="0" pivotButton="0" quotePrefix="0" xfId="0"/>
    <xf numFmtId="0" fontId="5" fillId="4" borderId="0" applyAlignment="1" pivotButton="0" quotePrefix="0" xfId="0">
      <alignment vertical="center"/>
    </xf>
    <xf numFmtId="166" fontId="2" fillId="3" borderId="0" pivotButton="0" quotePrefix="0" xfId="0"/>
    <xf numFmtId="166" fontId="6" fillId="3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2">
      <c r="B2" s="1" t="inlineStr">
        <is>
          <t>손익분기점(BEP) 계산기 (2026년 기준)</t>
        </is>
      </c>
    </row>
    <row r="4">
      <c r="B4" s="2" t="inlineStr">
        <is>
          <t>⚠ 사용 전 꼭 읽어주세요</t>
        </is>
      </c>
    </row>
    <row r="5" ht="60" customHeight="1">
      <c r="B5" s="3" t="inlineStr">
        <is>
          <t>본 계산기는 마진·손익을 미리 가늠해보는 참고용 도구입니다. 세무·회계 상담을 대신하지 않으며, 실제 정산 금액과 다를 수 있습니다. 플랫폼 수수료율은 카테고리·매출등급·유입경로에 따라 달라지므로 판매 전 반드시 각 플랫폼 판매자센터의 최신 공지사항으로 다시 확인하세요. (기준: 2026년 9월 확인)</t>
        </is>
      </c>
    </row>
    <row r="7">
      <c r="B7" s="2" t="inlineStr">
        <is>
          <t>사용법</t>
        </is>
      </c>
    </row>
    <row r="8">
      <c r="B8" t="inlineStr">
        <is>
          <t>① '상품 마진 계산기'에서 뽑은 개당 순마진을 B5에 입력</t>
        </is>
      </c>
    </row>
    <row r="9">
      <c r="B9" t="inlineStr">
        <is>
          <t>② 고정비(초기 사입비, 광고 셋업비 등)를 B4에 입력</t>
        </is>
      </c>
    </row>
    <row r="10">
      <c r="B10" t="inlineStr">
        <is>
          <t>③ 목표 판매 기간을 B6에 입력하면 하루 평균 필요 판매량까지 자동 계산</t>
        </is>
      </c>
    </row>
    <row r="11">
      <c r="B11" t="inlineStr">
        <is>
          <t>④ 하단 '조정 시나리오 3개' 표에서 판매가·원가·광고비를 조정했을 때 BEP가 어떻게 줄어드는지 비교</t>
        </is>
      </c>
    </row>
    <row r="13" ht="40" customHeight="1">
      <c r="B13" s="4" t="inlineStr">
        <is>
          <t>손익분기 수량이 목표 기간 안에 비현실적으로 크게 나오면, 시나리오 표에서 판매가 인상·원가 절감·광고비 절감 중 어느 쪽이 BEP를 가장 크게 줄이는지 먼저 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6" customWidth="1" min="4" max="4"/>
    <col width="14" customWidth="1" min="5" max="5"/>
  </cols>
  <sheetData>
    <row r="1">
      <c r="A1" s="1" t="inlineStr">
        <is>
          <t>손익분기점(BEP) 계산기</t>
        </is>
      </c>
    </row>
    <row r="3">
      <c r="A3" s="2" t="inlineStr">
        <is>
          <t>① 입력</t>
        </is>
      </c>
    </row>
    <row r="4">
      <c r="A4" t="inlineStr">
        <is>
          <t>고정비(초기 사입비·광고 셋업비 등)</t>
        </is>
      </c>
      <c r="B4" s="5" t="n">
        <v>500000</v>
      </c>
    </row>
    <row r="5">
      <c r="A5" t="inlineStr">
        <is>
          <t>개당 순마진(상품 마진 계산기 B25 값)</t>
        </is>
      </c>
      <c r="B5" s="5" t="n">
        <v>12660</v>
      </c>
    </row>
    <row r="6">
      <c r="A6" t="inlineStr">
        <is>
          <t>목표 판매 기간(일)</t>
        </is>
      </c>
      <c r="B6" s="6" t="n">
        <v>30</v>
      </c>
    </row>
    <row r="8">
      <c r="A8" s="2" t="inlineStr">
        <is>
          <t>② 결과</t>
        </is>
      </c>
    </row>
    <row r="9">
      <c r="A9" t="inlineStr">
        <is>
          <t>손익분기 판매 수량</t>
        </is>
      </c>
      <c r="B9" s="7">
        <f>IFERROR(ROUNDUP(B4/B5,0),0)</f>
        <v/>
      </c>
    </row>
    <row r="10">
      <c r="A10" t="inlineStr">
        <is>
          <t>목표 기간 내 필요 일 평균 판매량</t>
        </is>
      </c>
      <c r="B10" s="8">
        <f>IFERROR(ROUNDUP(B9/B6,1),0)</f>
        <v/>
      </c>
    </row>
    <row r="11">
      <c r="A11" t="inlineStr">
        <is>
          <t>손익분기 매출액(=BEP수량 × 개당 순마진 초과분 아님, 참고용 매출 규모)</t>
        </is>
      </c>
      <c r="B11" s="9">
        <f>B9*B5</f>
        <v/>
      </c>
      <c r="C11" s="10" t="inlineStr">
        <is>
          <t>손익분기 수량을 팔았을 때 회수되는 순마진 총액 = 고정비와 같아짐</t>
        </is>
      </c>
    </row>
    <row r="13">
      <c r="A13" s="2" t="inlineStr">
        <is>
          <t>③ 현실성 체크</t>
        </is>
      </c>
    </row>
    <row r="14">
      <c r="A14" t="inlineStr">
        <is>
          <t>판단 기준(일 평균 3개 이하=현실적 / 10개 이상=재검토 권장)</t>
        </is>
      </c>
      <c r="B14" s="11">
        <f>IF(B10&lt;=3,"현실적","재검토 권장")</f>
        <v/>
      </c>
    </row>
    <row r="17">
      <c r="A17" s="2" t="inlineStr">
        <is>
          <t>④ 조정 시나리오 3개 — 어느 쪽이 BEP를 가장 크게 줄이는지 비교</t>
        </is>
      </c>
    </row>
    <row r="18">
      <c r="A18" s="12" t="inlineStr">
        <is>
          <t>시나리오</t>
        </is>
      </c>
      <c r="B18" s="12" t="inlineStr">
        <is>
          <t>조정 내용(입력)</t>
        </is>
      </c>
      <c r="C18" s="12" t="inlineStr">
        <is>
          <t>조정 후 개당 순마진</t>
        </is>
      </c>
      <c r="D18" s="12" t="inlineStr">
        <is>
          <t>조정 후 BEP 수량</t>
        </is>
      </c>
      <c r="E18" s="12" t="inlineStr">
        <is>
          <t>BEP 감소량</t>
        </is>
      </c>
    </row>
    <row r="19">
      <c r="A19" t="inlineStr">
        <is>
          <t>시나리오 1 · 판매가 인상</t>
        </is>
      </c>
      <c r="B19" s="5" t="n">
        <v>2000</v>
      </c>
      <c r="C19" s="9">
        <f>B5+B19</f>
        <v/>
      </c>
      <c r="D19" s="13">
        <f>IFERROR(ROUNDUP(B4/C19,0),0)</f>
        <v/>
      </c>
      <c r="E19" s="14">
        <f>B9-D19</f>
        <v/>
      </c>
    </row>
    <row r="20">
      <c r="A20" t="inlineStr">
        <is>
          <t>시나리오 2 · 원가 절감</t>
        </is>
      </c>
      <c r="B20" s="5" t="n">
        <v>1500</v>
      </c>
      <c r="C20" s="9">
        <f>B5+B20</f>
        <v/>
      </c>
      <c r="D20" s="13">
        <f>IFERROR(ROUNDUP(B4/C20,0),0)</f>
        <v/>
      </c>
      <c r="E20" s="14">
        <f>B9-D20</f>
        <v/>
      </c>
    </row>
    <row r="21">
      <c r="A21" t="inlineStr">
        <is>
          <t>시나리오 3 · 광고비(CPA) 절감</t>
        </is>
      </c>
      <c r="B21" s="5" t="n">
        <v>1000</v>
      </c>
      <c r="C21" s="9">
        <f>B5+B21</f>
        <v/>
      </c>
      <c r="D21" s="13">
        <f>IFERROR(ROUNDUP(B4/C21,0),0)</f>
        <v/>
      </c>
      <c r="E21" s="14">
        <f>B9-D21</f>
        <v/>
      </c>
    </row>
    <row r="23" ht="30" customHeight="1">
      <c r="A23" s="15" t="inlineStr">
        <is>
          <t>※ B열(조정 내용)은 개당 순마진에 더해질 금액(원)을 직접 입력하세요. 판매가를 2,000원 올리면 개당 순마진도 그대로 2,000원 늘어난다고 가정한 단순 시뮬레이션입니다.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2026-09-21T21:24:51Z</dcterms:created>
  <dcterms:modified xsi:type="dcterms:W3CDTF">2026-09-21T21:24:51Z</dcterms:modified>
</cp:coreProperties>
</file>