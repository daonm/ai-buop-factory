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비교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565F72"/>
    </font>
    <font>
      <b val="1"/>
      <color rgb="FFFFFFFF"/>
    </font>
    <font>
      <color rgb="FF262C3D"/>
    </font>
    <font>
      <i val="1"/>
      <color rgb="FF565F72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164" fontId="0" fillId="3" borderId="0" pivotButton="0" quotePrefix="0" xfId="0"/>
    <xf numFmtId="165" fontId="2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center" wrapText="1"/>
    </xf>
    <xf numFmtId="164" fontId="2" fillId="4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다상품 마진 비교 계산기 (2026년 기준)</t>
        </is>
      </c>
    </row>
    <row r="4">
      <c r="B4" s="2" t="inlineStr">
        <is>
          <t>⚠ 사용 전 꼭 읽어주세요</t>
        </is>
      </c>
    </row>
    <row r="5" ht="60" customHeight="1">
      <c r="B5" s="3" t="inlineStr">
        <is>
          <t>본 계산기는 마진·손익을 미리 가늠해보는 참고용 도구입니다. 세무·회계 상담을 대신하지 않으며, 실제 정산 금액과 다를 수 있습니다. 플랫폼 수수료율은 카테고리·매출등급·유입경로에 따라 달라지므로 판매 전 반드시 각 플랫폼 판매자센터의 최신 공지사항으로 다시 확인하세요. (기준: 2026년 9월 확인)</t>
        </is>
      </c>
    </row>
    <row r="7">
      <c r="B7" s="2" t="inlineStr">
        <is>
          <t>사용법</t>
        </is>
      </c>
    </row>
    <row r="8">
      <c r="B8" t="inlineStr">
        <is>
          <t>① '비교표' 시트의 노란색 칸에 상품별 매출·마진액을 입력(최대 10개 상품, 행 추가 가능)</t>
        </is>
      </c>
    </row>
    <row r="9">
      <c r="B9" t="inlineStr">
        <is>
          <t>② 매출 순위·마진율 순위가 자동으로 계산됩니다</t>
        </is>
      </c>
    </row>
    <row r="10">
      <c r="B10" t="inlineStr">
        <is>
          <t>③ '순위 격차' 값이 클수록 매출과 마진이 엇갈리는 상품 — 우선순위 재조정이 필요합니다</t>
        </is>
      </c>
    </row>
    <row r="11">
      <c r="B11" t="inlineStr">
        <is>
          <t>④ '판정' 칸에서 상품별로 광고비를 늘릴지 줄일지 자동 제안을 확인하세요</t>
        </is>
      </c>
    </row>
    <row r="13" ht="40" customHeight="1">
      <c r="B13" s="4" t="inlineStr">
        <is>
          <t>매출 1위 상품이 마진 꼴찌인 경우가 실제로 흔합니다. 이 표는 매출이 아니라 마진 기준으로 어디에 힘을 쏟을지 정하기 위한 도구입니다.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다상품 마진 비교표</t>
        </is>
      </c>
    </row>
    <row r="3">
      <c r="A3" s="5" t="inlineStr">
        <is>
          <t>상품명</t>
        </is>
      </c>
      <c r="B3" s="5" t="inlineStr">
        <is>
          <t>월 매출액</t>
        </is>
      </c>
      <c r="C3" s="5" t="inlineStr">
        <is>
          <t>월 마진액</t>
        </is>
      </c>
      <c r="D3" s="5" t="inlineStr">
        <is>
          <t>마진율</t>
        </is>
      </c>
      <c r="E3" s="5" t="inlineStr">
        <is>
          <t>매출 순위</t>
        </is>
      </c>
      <c r="F3" s="5" t="inlineStr">
        <is>
          <t>마진율 순위</t>
        </is>
      </c>
      <c r="G3" s="5" t="inlineStr">
        <is>
          <t>순위 격차</t>
        </is>
      </c>
      <c r="H3" s="5" t="inlineStr">
        <is>
          <t>판정</t>
        </is>
      </c>
    </row>
    <row r="4" ht="30" customHeight="1">
      <c r="A4" s="6" t="inlineStr">
        <is>
          <t>상품A</t>
        </is>
      </c>
      <c r="B4" s="7" t="n">
        <v>12000000</v>
      </c>
      <c r="C4" s="7" t="n">
        <v>1800000</v>
      </c>
      <c r="D4" s="8">
        <f>IFERROR(C4/B4,0)</f>
        <v/>
      </c>
      <c r="E4" s="9">
        <f>IF(B4=0,"",RANK(B4,$B$4:$B$13))</f>
        <v/>
      </c>
      <c r="F4" s="9">
        <f>IF(D4=0,"",RANK(D4,$D$4:$D$13))</f>
        <v/>
      </c>
      <c r="G4" s="9">
        <f>IF(OR(E4="",F4=""),"",E4-F4)</f>
        <v/>
      </c>
      <c r="H4" s="10">
        <f>IF(A4="","",IF(G4="","",IF(G4&lt;=-2,"매출은 높지만 마진 낮음 — 광고비 줄이고 판매가·원가 재검토",IF(G4&gt;=2,"매출은 적지만 마진 높음 — 광고비 늘려 매출 확대 고려","균형 — 현행 유지"))))</f>
        <v/>
      </c>
    </row>
    <row r="5" ht="30" customHeight="1">
      <c r="A5" s="6" t="inlineStr">
        <is>
          <t>상품B</t>
        </is>
      </c>
      <c r="B5" s="7" t="n">
        <v>9000000</v>
      </c>
      <c r="C5" s="7" t="n">
        <v>2700000</v>
      </c>
      <c r="D5" s="8">
        <f>IFERROR(C5/B5,0)</f>
        <v/>
      </c>
      <c r="E5" s="9">
        <f>IF(B5=0,"",RANK(B5,$B$4:$B$13))</f>
        <v/>
      </c>
      <c r="F5" s="9">
        <f>IF(D5=0,"",RANK(D5,$D$4:$D$13))</f>
        <v/>
      </c>
      <c r="G5" s="9">
        <f>IF(OR(E5="",F5=""),"",E5-F5)</f>
        <v/>
      </c>
      <c r="H5" s="10">
        <f>IF(A5="","",IF(G5="","",IF(G5&lt;=-2,"매출은 높지만 마진 낮음 — 광고비 줄이고 판매가·원가 재검토",IF(G5&gt;=2,"매출은 적지만 마진 높음 — 광고비 늘려 매출 확대 고려","균형 — 현행 유지"))))</f>
        <v/>
      </c>
    </row>
    <row r="6" ht="30" customHeight="1">
      <c r="A6" s="6" t="inlineStr">
        <is>
          <t>상품C</t>
        </is>
      </c>
      <c r="B6" s="7" t="n">
        <v>15000000</v>
      </c>
      <c r="C6" s="7" t="n">
        <v>900000</v>
      </c>
      <c r="D6" s="8">
        <f>IFERROR(C6/B6,0)</f>
        <v/>
      </c>
      <c r="E6" s="9">
        <f>IF(B6=0,"",RANK(B6,$B$4:$B$13))</f>
        <v/>
      </c>
      <c r="F6" s="9">
        <f>IF(D6=0,"",RANK(D6,$D$4:$D$13))</f>
        <v/>
      </c>
      <c r="G6" s="9">
        <f>IF(OR(E6="",F6=""),"",E6-F6)</f>
        <v/>
      </c>
      <c r="H6" s="10">
        <f>IF(A6="","",IF(G6="","",IF(G6&lt;=-2,"매출은 높지만 마진 낮음 — 광고비 줄이고 판매가·원가 재검토",IF(G6&gt;=2,"매출은 적지만 마진 높음 — 광고비 늘려 매출 확대 고려","균형 — 현행 유지"))))</f>
        <v/>
      </c>
    </row>
    <row r="7" ht="30" customHeight="1">
      <c r="A7" s="6" t="inlineStr">
        <is>
          <t>상품D</t>
        </is>
      </c>
      <c r="B7" s="7" t="n">
        <v>4000000</v>
      </c>
      <c r="C7" s="7" t="n">
        <v>1600000</v>
      </c>
      <c r="D7" s="8">
        <f>IFERROR(C7/B7,0)</f>
        <v/>
      </c>
      <c r="E7" s="9">
        <f>IF(B7=0,"",RANK(B7,$B$4:$B$13))</f>
        <v/>
      </c>
      <c r="F7" s="9">
        <f>IF(D7=0,"",RANK(D7,$D$4:$D$13))</f>
        <v/>
      </c>
      <c r="G7" s="9">
        <f>IF(OR(E7="",F7=""),"",E7-F7)</f>
        <v/>
      </c>
      <c r="H7" s="10">
        <f>IF(A7="","",IF(G7="","",IF(G7&lt;=-2,"매출은 높지만 마진 낮음 — 광고비 줄이고 판매가·원가 재검토",IF(G7&gt;=2,"매출은 적지만 마진 높음 — 광고비 늘려 매출 확대 고려","균형 — 현행 유지"))))</f>
        <v/>
      </c>
    </row>
    <row r="8" ht="30" customHeight="1">
      <c r="A8" s="6" t="inlineStr">
        <is>
          <t>상품E</t>
        </is>
      </c>
      <c r="B8" s="7" t="n">
        <v>7000000</v>
      </c>
      <c r="C8" s="7" t="n">
        <v>700000</v>
      </c>
      <c r="D8" s="8">
        <f>IFERROR(C8/B8,0)</f>
        <v/>
      </c>
      <c r="E8" s="9">
        <f>IF(B8=0,"",RANK(B8,$B$4:$B$13))</f>
        <v/>
      </c>
      <c r="F8" s="9">
        <f>IF(D8=0,"",RANK(D8,$D$4:$D$13))</f>
        <v/>
      </c>
      <c r="G8" s="9">
        <f>IF(OR(E8="",F8=""),"",E8-F8)</f>
        <v/>
      </c>
      <c r="H8" s="10">
        <f>IF(A8="","",IF(G8="","",IF(G8&lt;=-2,"매출은 높지만 마진 낮음 — 광고비 줄이고 판매가·원가 재검토",IF(G8&gt;=2,"매출은 적지만 마진 높음 — 광고비 늘려 매출 확대 고려","균형 — 현행 유지"))))</f>
        <v/>
      </c>
    </row>
    <row r="9" ht="30" customHeight="1">
      <c r="A9" s="6" t="inlineStr"/>
      <c r="B9" s="7" t="n">
        <v>0</v>
      </c>
      <c r="C9" s="7" t="n">
        <v>0</v>
      </c>
      <c r="D9" s="8">
        <f>IFERROR(C9/B9,0)</f>
        <v/>
      </c>
      <c r="E9" s="9">
        <f>IF(B9=0,"",RANK(B9,$B$4:$B$13))</f>
        <v/>
      </c>
      <c r="F9" s="9">
        <f>IF(D9=0,"",RANK(D9,$D$4:$D$13))</f>
        <v/>
      </c>
      <c r="G9" s="9">
        <f>IF(OR(E9="",F9=""),"",E9-F9)</f>
        <v/>
      </c>
      <c r="H9" s="10">
        <f>IF(A9="","",IF(G9="","",IF(G9&lt;=-2,"매출은 높지만 마진 낮음 — 광고비 줄이고 판매가·원가 재검토",IF(G9&gt;=2,"매출은 적지만 마진 높음 — 광고비 늘려 매출 확대 고려","균형 — 현행 유지"))))</f>
        <v/>
      </c>
    </row>
    <row r="10" ht="30" customHeight="1">
      <c r="A10" s="6" t="inlineStr"/>
      <c r="B10" s="7" t="n">
        <v>0</v>
      </c>
      <c r="C10" s="7" t="n">
        <v>0</v>
      </c>
      <c r="D10" s="8">
        <f>IFERROR(C10/B10,0)</f>
        <v/>
      </c>
      <c r="E10" s="9">
        <f>IF(B10=0,"",RANK(B10,$B$4:$B$13))</f>
        <v/>
      </c>
      <c r="F10" s="9">
        <f>IF(D10=0,"",RANK(D10,$D$4:$D$13))</f>
        <v/>
      </c>
      <c r="G10" s="9">
        <f>IF(OR(E10="",F10=""),"",E10-F10)</f>
        <v/>
      </c>
      <c r="H10" s="10">
        <f>IF(A10="","",IF(G10="","",IF(G10&lt;=-2,"매출은 높지만 마진 낮음 — 광고비 줄이고 판매가·원가 재검토",IF(G10&gt;=2,"매출은 적지만 마진 높음 — 광고비 늘려 매출 확대 고려","균형 — 현행 유지"))))</f>
        <v/>
      </c>
    </row>
    <row r="11" ht="30" customHeight="1">
      <c r="A11" s="6" t="inlineStr"/>
      <c r="B11" s="7" t="n">
        <v>0</v>
      </c>
      <c r="C11" s="7" t="n">
        <v>0</v>
      </c>
      <c r="D11" s="8">
        <f>IFERROR(C11/B11,0)</f>
        <v/>
      </c>
      <c r="E11" s="9">
        <f>IF(B11=0,"",RANK(B11,$B$4:$B$13))</f>
        <v/>
      </c>
      <c r="F11" s="9">
        <f>IF(D11=0,"",RANK(D11,$D$4:$D$13))</f>
        <v/>
      </c>
      <c r="G11" s="9">
        <f>IF(OR(E11="",F11=""),"",E11-F11)</f>
        <v/>
      </c>
      <c r="H11" s="10">
        <f>IF(A11="","",IF(G11="","",IF(G11&lt;=-2,"매출은 높지만 마진 낮음 — 광고비 줄이고 판매가·원가 재검토",IF(G11&gt;=2,"매출은 적지만 마진 높음 — 광고비 늘려 매출 확대 고려","균형 — 현행 유지"))))</f>
        <v/>
      </c>
    </row>
    <row r="12" ht="30" customHeight="1">
      <c r="A12" s="6" t="inlineStr"/>
      <c r="B12" s="7" t="n">
        <v>0</v>
      </c>
      <c r="C12" s="7" t="n">
        <v>0</v>
      </c>
      <c r="D12" s="8">
        <f>IFERROR(C12/B12,0)</f>
        <v/>
      </c>
      <c r="E12" s="9">
        <f>IF(B12=0,"",RANK(B12,$B$4:$B$13))</f>
        <v/>
      </c>
      <c r="F12" s="9">
        <f>IF(D12=0,"",RANK(D12,$D$4:$D$13))</f>
        <v/>
      </c>
      <c r="G12" s="9">
        <f>IF(OR(E12="",F12=""),"",E12-F12)</f>
        <v/>
      </c>
      <c r="H12" s="10">
        <f>IF(A12="","",IF(G12="","",IF(G12&lt;=-2,"매출은 높지만 마진 낮음 — 광고비 줄이고 판매가·원가 재검토",IF(G12&gt;=2,"매출은 적지만 마진 높음 — 광고비 늘려 매출 확대 고려","균형 — 현행 유지"))))</f>
        <v/>
      </c>
    </row>
    <row r="13" ht="30" customHeight="1">
      <c r="A13" s="6" t="inlineStr"/>
      <c r="B13" s="7" t="n">
        <v>0</v>
      </c>
      <c r="C13" s="7" t="n">
        <v>0</v>
      </c>
      <c r="D13" s="8">
        <f>IFERROR(C13/B13,0)</f>
        <v/>
      </c>
      <c r="E13" s="9">
        <f>IF(B13=0,"",RANK(B13,$B$4:$B$13))</f>
        <v/>
      </c>
      <c r="F13" s="9">
        <f>IF(D13=0,"",RANK(D13,$D$4:$D$13))</f>
        <v/>
      </c>
      <c r="G13" s="9">
        <f>IF(OR(E13="",F13=""),"",E13-F13)</f>
        <v/>
      </c>
      <c r="H13" s="10">
        <f>IF(A13="","",IF(G13="","",IF(G13&lt;=-2,"매출은 높지만 마진 낮음 — 광고비 줄이고 판매가·원가 재검토",IF(G13&gt;=2,"매출은 적지만 마진 높음 — 광고비 늘려 매출 확대 고려","균형 — 현행 유지"))))</f>
        <v/>
      </c>
    </row>
    <row r="15">
      <c r="A15" s="2" t="inlineStr">
        <is>
          <t>합계</t>
        </is>
      </c>
      <c r="B15" s="11">
        <f>SUM(B4:B13)</f>
        <v/>
      </c>
      <c r="C15" s="11">
        <f>SUM(C4:C13)</f>
        <v/>
      </c>
      <c r="D15" s="8">
        <f>IFERROR(C15/B15,0)</f>
        <v/>
      </c>
    </row>
    <row r="17" ht="30" customHeight="1">
      <c r="A17" s="12" t="inlineStr">
        <is>
          <t>※ 순위 격차 = 매출 순위 − 마진율 순위. 음수가 클수록 '매출은 높은데 마진이 낮은' 상품, 양수가 클수록 '매출은 적은데 마진이 좋은' 상품입니다.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2026-09-21T21:24:51Z</dcterms:created>
  <dcterms:modified xsi:type="dcterms:W3CDTF">2026-09-21T21:24:51Z</dcterms:modified>
</cp:coreProperties>
</file>