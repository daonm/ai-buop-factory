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#,##0&quot;건&quot;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565F72"/>
    </font>
    <font>
      <b val="1"/>
      <color rgb="FF262C3D"/>
      <sz val="12"/>
    </font>
  </fonts>
  <fills count="4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0" fillId="2" borderId="0" pivotButton="0" quotePrefix="0" xfId="0"/>
    <xf numFmtId="165" fontId="0" fillId="2" borderId="0" pivotButton="0" quotePrefix="0" xfId="0"/>
    <xf numFmtId="164" fontId="2" fillId="3" borderId="0" pivotButton="0" quotePrefix="0" xfId="0"/>
    <xf numFmtId="164" fontId="4" fillId="3" borderId="0" pivotButton="0" quotePrefix="0" xfId="0"/>
    <xf numFmtId="166" fontId="2" fillId="3" borderId="0" pivotButton="0" quotePrefix="0" xfId="0"/>
    <xf numFmtId="0" fontId="3" fillId="0" borderId="0" applyAlignment="1" pivotButton="0" quotePrefix="0" xfId="0">
      <alignment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2">
      <c r="B2" s="1" t="inlineStr">
        <is>
          <t>광고비 반영 실질마진 계산기 (2026년 기준)</t>
        </is>
      </c>
    </row>
    <row r="4">
      <c r="B4" s="2" t="inlineStr">
        <is>
          <t>⚠ 사용 전 꼭 읽어주세요</t>
        </is>
      </c>
    </row>
    <row r="5" ht="60" customHeight="1">
      <c r="B5" s="3" t="inlineStr">
        <is>
          <t>본 계산기는 마진·손익을 미리 가늠해보는 참고용 도구입니다. 세무·회계 상담을 대신하지 않으며, 실제 정산 금액과 다를 수 있습니다. 플랫폼 수수료율은 카테고리·매출등급·유입경로에 따라 달라지므로 판매 전 반드시 각 플랫폼 판매자센터의 최신 공지사항으로 다시 확인하세요. (기준: 2026년 9월 확인)</t>
        </is>
      </c>
    </row>
    <row r="7">
      <c r="B7" s="2" t="inlineStr">
        <is>
          <t>사용법</t>
        </is>
      </c>
    </row>
    <row r="8">
      <c r="B8" t="inlineStr">
        <is>
          <t>① 최근 광고 집행 데이터(광고비, 광고로 발생한 주문 수)를 B4~B5에 입력</t>
        </is>
      </c>
    </row>
    <row r="9">
      <c r="B9" t="inlineStr">
        <is>
          <t>② 광고 제외 개당 순마진(상품 마진 계산기 B25 값, 광고비 0으로 계산한 값)을 B7에 입력</t>
        </is>
      </c>
    </row>
    <row r="10">
      <c r="B10" t="inlineStr">
        <is>
          <t>③ 전체 주문수(광고+비광고 합계)를 B8에 입력하면 광고 의존 비율까지 자동 계산</t>
        </is>
      </c>
    </row>
    <row r="11">
      <c r="B11" t="inlineStr">
        <is>
          <t>④ 실질 마진이 마이너스면 광고 소재·타겟 변경 또는 판매가 인상이 필요합니다</t>
        </is>
      </c>
    </row>
    <row r="13" ht="40" customHeight="1">
      <c r="B13" s="4" t="inlineStr">
        <is>
          <t>CPA(건당 광고비)는 '광고비 ÷ 광고로 발생한 주문 수'로 계산합니다. 이 값을 개당 순마진에서 한 번 더 빼면 광고를 포함한 '진짜' 마진이 나옵니다.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6" customWidth="1" min="3" max="3"/>
  </cols>
  <sheetData>
    <row r="1">
      <c r="A1" s="1" t="inlineStr">
        <is>
          <t>광고비 반영 실질마진 계산기</t>
        </is>
      </c>
    </row>
    <row r="3">
      <c r="A3" s="2" t="inlineStr">
        <is>
          <t>① 광고 집행 데이터 입력</t>
        </is>
      </c>
    </row>
    <row r="4">
      <c r="A4" t="inlineStr">
        <is>
          <t>최근 기간 총 광고비</t>
        </is>
      </c>
      <c r="B4" s="5" t="n">
        <v>300000</v>
      </c>
    </row>
    <row r="5">
      <c r="A5" t="inlineStr">
        <is>
          <t>같은 기간 광고로 발생한 주문 수</t>
        </is>
      </c>
      <c r="B5" s="6" t="n">
        <v>40</v>
      </c>
    </row>
    <row r="6">
      <c r="A6" t="inlineStr">
        <is>
          <t>같은 기간 전체 주문 수(광고+비광고)</t>
        </is>
      </c>
      <c r="B6" s="6" t="n">
        <v>65</v>
      </c>
    </row>
    <row r="8">
      <c r="A8" s="2" t="inlineStr">
        <is>
          <t>② 광고 제외 마진(상품 마진 계산기 값)</t>
        </is>
      </c>
    </row>
    <row r="9">
      <c r="A9" t="inlineStr">
        <is>
          <t>개당 순마진(광고비 배분 0으로 계산한 값)</t>
        </is>
      </c>
      <c r="B9" s="5" t="n">
        <v>12660</v>
      </c>
    </row>
    <row r="11">
      <c r="A11" s="2" t="inlineStr">
        <is>
          <t>③ 결과</t>
        </is>
      </c>
    </row>
    <row r="12">
      <c r="A12" t="inlineStr">
        <is>
          <t>건당 광고비 배분액(CPA)</t>
        </is>
      </c>
      <c r="B12" s="7">
        <f>IFERROR(B4/B5,0)</f>
        <v/>
      </c>
    </row>
    <row r="13">
      <c r="A13" t="inlineStr">
        <is>
          <t>광고 포함 실질 개당 마진</t>
        </is>
      </c>
      <c r="B13" s="8">
        <f>B9-B12</f>
        <v/>
      </c>
    </row>
    <row r="14">
      <c r="A14" t="inlineStr">
        <is>
          <t>실질 마진율(광고 포함)</t>
        </is>
      </c>
      <c r="B14" s="9">
        <f>IFERROR(B13/(B9+B12),0)</f>
        <v/>
      </c>
      <c r="C14" s="10" t="inlineStr">
        <is>
          <t>판매가 대신 '순마진+CPA≈판매가 관련값'으로 근사 — 정확한 마진율은 상품 마진 계산기의 판매가 기준 권장</t>
        </is>
      </c>
    </row>
    <row r="16">
      <c r="A16" s="2" t="inlineStr">
        <is>
          <t>④ 광고 의존도</t>
        </is>
      </c>
    </row>
    <row r="17">
      <c r="A17" t="inlineStr">
        <is>
          <t>광고 의존 주문 비율</t>
        </is>
      </c>
      <c r="B17" s="9">
        <f>IFERROR(B5/B6,0)</f>
        <v/>
      </c>
    </row>
    <row r="18">
      <c r="A18" t="inlineStr">
        <is>
          <t>순수(비광고) 주문 비율</t>
        </is>
      </c>
      <c r="B18" s="9">
        <f>IFERROR(1-B17,0)</f>
        <v/>
      </c>
    </row>
    <row r="20">
      <c r="A20" s="2" t="inlineStr">
        <is>
          <t>⑤ 판정</t>
        </is>
      </c>
    </row>
    <row r="21" ht="18" customHeight="1">
      <c r="A21" t="inlineStr">
        <is>
          <t>이 상품, 광고를 켤수록 이득인가?</t>
        </is>
      </c>
      <c r="B21" s="11">
        <f>IF(B13&lt;0,"손해 — 광고 끄거나 소재/판매가 조정 필요",IF(B13&lt;B9*0.3,"주의 — 마진이 크게 줄어듦","양호"))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2026-09-21T21:24:51Z</dcterms:created>
  <dcterms:modified xsi:type="dcterms:W3CDTF">2026-09-21T21:24:51Z</dcterms:modified>
</cp:coreProperties>
</file>