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%"/>
  </numFmts>
  <fonts count="7">
    <font>
      <name val="Calibri"/>
      <family val="2"/>
      <color theme="1"/>
      <sz val="11"/>
      <scheme val="minor"/>
    </font>
    <font>
      <name val="Noto Sans KR"/>
      <b val="1"/>
      <color rgb="FF262C3D"/>
      <sz val="13"/>
    </font>
    <font>
      <name val="Noto Sans KR"/>
      <color rgb="FF262C3D"/>
      <sz val="10"/>
    </font>
    <font>
      <name val="Noto Sans KR"/>
      <color rgb="FF565F72"/>
      <sz val="9.5"/>
    </font>
    <font>
      <name val="Noto Sans KR"/>
      <b val="1"/>
      <color rgb="FF262C3D"/>
      <sz val="11"/>
    </font>
    <font>
      <name val="Noto Sans KR"/>
      <color rgb="FF262C3D"/>
      <sz val="11"/>
    </font>
    <font>
      <name val="Noto Sans KR"/>
      <color rgb="FF262C3D"/>
      <sz val="13"/>
    </font>
  </fonts>
  <fills count="4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5" fillId="2" borderId="0" pivotButton="0" quotePrefix="0" xfId="0"/>
    <xf numFmtId="3" fontId="5" fillId="2" borderId="0" pivotButton="0" quotePrefix="0" xfId="0"/>
    <xf numFmtId="3" fontId="4" fillId="3" borderId="0" pivotButton="0" quotePrefix="0" xfId="0"/>
    <xf numFmtId="0" fontId="6" fillId="0" borderId="0" applyAlignment="1" pivotButton="0" quotePrefix="0" xfId="0">
      <alignment vertical="center" wrapText="1"/>
    </xf>
    <xf numFmtId="3" fontId="1" fillId="3" borderId="0" pivotButton="0" quotePrefix="0" xfId="0"/>
    <xf numFmtId="164" fontId="5" fillId="2" borderId="0" pivotButton="0" quotePrefix="0" xfId="0"/>
    <xf numFmtId="165" fontId="4" fillId="3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/>
    <row r="2">
      <c r="B2" s="1" t="inlineStr">
        <is>
          <t>졸업시점 총 학자금 부채 시뮬레이션 계산기</t>
        </is>
      </c>
    </row>
    <row r="3"/>
    <row r="4" ht="30" customHeight="1">
      <c r="B4" s="2" t="inlineStr">
        <is>
          <t>남은 학기 수와 학기당 대출 예정액(등록금·생활비)을 입력하면 졸업 시점까지 쌓일 총 학자금 부채를 계산하고, 일반상환 기준 월 상환액·총이자까지 추정합니다.</t>
        </is>
      </c>
    </row>
    <row r="5" ht="30" customHeight="1">
      <c r="B5" s="3" t="inlineStr">
        <is>
          <t>이 계산기는 확정 부채액이 아니라 참고용 추정 계산 도구입니다. 실제 학기별 등록금·생활비 대출 가능 여부와 금리는 매 학기 한국장학재단 공고로 재확인하세요.</t>
        </is>
      </c>
    </row>
    <row r="6"/>
    <row r="7">
      <c r="B7" s="4" t="inlineStr">
        <is>
          <t>사용법</t>
        </is>
      </c>
    </row>
    <row r="8" ht="30" customHeight="1">
      <c r="B8" s="2" t="inlineStr">
        <is>
          <t>1. 'A. 학기별 누적 대출' 구간의 노란색 칸에 남은 학기 수와 학기당 대출 예정액을 입력하면 올리브색 칸에 총 대출 예상액이 자동으로 뜹니다.</t>
        </is>
      </c>
    </row>
    <row r="9" ht="30" customHeight="1">
      <c r="B9" s="2" t="inlineStr">
        <is>
          <t>2. 학기당 등록금 대출 예정액은 '국가장학금_소득분위_등록금실부담액_계산기.xlsx'에서 계산한 학기당 실부담 등록금을 그대로 가져와 입력하세요.</t>
        </is>
      </c>
    </row>
    <row r="10" ht="30" customHeight="1">
      <c r="B10" s="2" t="inlineStr">
        <is>
          <t>3. 'B. 상환 방식별 추정' 구간은 일반상환 가정 기준 참고용입니다. 실제로 ICL을 선택했다면 '학자금대출_상환액_비교_계산기.xlsx'에 총 대출 예상액을 대출총액으로 입력해 다시 계산하세요.</t>
        </is>
      </c>
    </row>
    <row r="11" ht="30" customHeight="1"/>
    <row r="12" ht="30" customHeight="1">
      <c r="B12" s="3" t="inlineStr">
        <is>
          <t>참고 — 이 시뮬레이션의 목적은 확정 수치 산출이 아니라 "지금 대출을 더 받을지, 생활비를 줄여볼지"를 미리 고민해보게 하는 것입니다. 숫자를 보여주는 것만으로도 상담 가치가 있습니다.</t>
        </is>
      </c>
    </row>
    <row r="13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20" customWidth="1" min="3" max="3"/>
  </cols>
  <sheetData>
    <row r="2">
      <c r="B2" s="1" t="inlineStr">
        <is>
          <t>졸업시점 총 학자금 부채 시뮬레이션 계산기</t>
        </is>
      </c>
    </row>
    <row r="4">
      <c r="B4" s="4" t="inlineStr">
        <is>
          <t>A. 학기별 누적 대출</t>
        </is>
      </c>
    </row>
    <row r="5">
      <c r="B5" s="5" t="inlineStr">
        <is>
          <t>남은 학기 수</t>
        </is>
      </c>
      <c r="C5" s="6" t="n">
        <v>6</v>
      </c>
    </row>
    <row r="6">
      <c r="B6" s="5" t="inlineStr">
        <is>
          <t>학기당 등록금 대출 예정액(원)</t>
        </is>
      </c>
      <c r="C6" s="7" t="n">
        <v>2000000</v>
      </c>
    </row>
    <row r="7">
      <c r="B7" s="5" t="inlineStr">
        <is>
          <t>학기당 생활비 대출 예정액(원)</t>
        </is>
      </c>
      <c r="C7" s="7" t="n">
        <v>1500000</v>
      </c>
    </row>
    <row r="8">
      <c r="B8" s="5" t="inlineStr">
        <is>
          <t>등록금 대출 누적 예상액(자동)</t>
        </is>
      </c>
      <c r="C8" s="8">
        <f>C5*C6</f>
        <v/>
      </c>
    </row>
    <row r="9">
      <c r="B9" s="5" t="inlineStr">
        <is>
          <t>생활비 대출 누적 예상액(자동)</t>
        </is>
      </c>
      <c r="C9" s="8">
        <f>C5*C7</f>
        <v/>
      </c>
    </row>
    <row r="10">
      <c r="B10" s="9" t="inlineStr">
        <is>
          <t>총 대출 예상액(자동)</t>
        </is>
      </c>
      <c r="C10" s="10">
        <f>C8+C9</f>
        <v/>
      </c>
    </row>
    <row r="12">
      <c r="B12" s="4" t="inlineStr">
        <is>
          <t>B. 상환 방식별 추정(일반상환 가정, 참고용)</t>
        </is>
      </c>
    </row>
    <row r="13">
      <c r="B13" s="5" t="inlineStr">
        <is>
          <t>적용 금리(2026년 기준)</t>
        </is>
      </c>
      <c r="C13" s="11" t="n">
        <v>0.017</v>
      </c>
    </row>
    <row r="14">
      <c r="B14" s="5" t="inlineStr">
        <is>
          <t>상환기간(년)</t>
        </is>
      </c>
      <c r="C14" s="6" t="n">
        <v>10</v>
      </c>
    </row>
    <row r="15">
      <c r="B15" s="5" t="inlineStr">
        <is>
          <t>월 금리(자동)</t>
        </is>
      </c>
      <c r="C15" s="12">
        <f>C13/12</f>
        <v/>
      </c>
    </row>
    <row r="16">
      <c r="B16" s="5" t="inlineStr">
        <is>
          <t>상환회차(개월, 자동)</t>
        </is>
      </c>
      <c r="C16" s="13">
        <f>C14*12</f>
        <v/>
      </c>
    </row>
    <row r="17">
      <c r="B17" s="9" t="inlineStr">
        <is>
          <t>월 상환액(원리금균등, 자동)</t>
        </is>
      </c>
      <c r="C17" s="10">
        <f>-PMT(C15,C16,C10)</f>
        <v/>
      </c>
    </row>
    <row r="18">
      <c r="B18" s="5" t="inlineStr">
        <is>
          <t>총 납부액(자동)</t>
        </is>
      </c>
      <c r="C18" s="8">
        <f>C17*C16</f>
        <v/>
      </c>
    </row>
    <row r="19">
      <c r="B19" s="5" t="inlineStr">
        <is>
          <t>총 이자(자동)</t>
        </is>
      </c>
      <c r="C19" s="8">
        <f>C18-C10</f>
        <v/>
      </c>
    </row>
    <row r="21">
      <c r="B21" s="3" t="inlineStr">
        <is>
          <t>참고 — ICL을 선택한 경우 이 표의 '총 대출 예상액'(C10)을 '학자금대출_상환액_비교_계산기.xlsx'의 대출총액 입력값으로 옮겨 다시 계산하면, 소득 수준에 맞는 더 정확한 상환 시나리오를 볼 수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2026-10-25T21:13:09Z</dcterms:created>
  <dcterms:modified xmlns:dcterms="http://purl.org/dc/terms/" xmlns:xsi="http://www.w3.org/2001/XMLSchema-instance" xsi:type="dcterms:W3CDTF">2026-10-25T21:13:09Z</dcterms:modified>
</cp:coreProperties>
</file>