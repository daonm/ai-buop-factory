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D-day계산기" sheetId="2" state="visible" r:id="rId2"/>
    <sheet xmlns:r="http://schemas.openxmlformats.org/officeDocument/2006/relationships" name="반환비율표" sheetId="3" state="visible" r:id="rId3"/>
    <sheet xmlns:r="http://schemas.openxmlformats.org/officeDocument/2006/relationships" name="체크리스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8">
    <font>
      <name val="Calibri"/>
      <family val="2"/>
      <color theme="1"/>
      <sz val="11"/>
      <scheme val="minor"/>
    </font>
    <font>
      <name val="Noto Sans KR"/>
      <b val="1"/>
      <color rgb="FF262C3D"/>
      <sz val="13"/>
    </font>
    <font>
      <name val="Noto Sans KR"/>
      <color rgb="FF262C3D"/>
      <sz val="10"/>
    </font>
    <font>
      <name val="Noto Sans KR"/>
      <color rgb="FF565F72"/>
      <sz val="9.5"/>
    </font>
    <font>
      <name val="Noto Sans KR"/>
      <b val="1"/>
      <color rgb="FF262C3D"/>
      <sz val="11"/>
    </font>
    <font>
      <name val="Noto Sans KR"/>
      <color rgb="FF262C3D"/>
      <sz val="11"/>
    </font>
    <font>
      <name val="Noto Sans KR"/>
      <color rgb="FF262C3D"/>
      <sz val="13"/>
    </font>
    <font>
      <name val="Noto Sans KR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6D9"/>
      </patternFill>
    </fill>
    <fill>
      <patternFill patternType="solid">
        <fgColor rgb="FFE3E6CE"/>
      </patternFill>
    </fill>
    <fill>
      <patternFill patternType="solid">
        <fgColor rgb="FFB87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5" fillId="0" borderId="0" applyAlignment="1" pivotButton="0" quotePrefix="0" xfId="0">
      <alignment vertical="center" wrapText="1"/>
    </xf>
    <xf numFmtId="164" fontId="5" fillId="2" borderId="0" pivotButton="0" quotePrefix="0" xfId="0"/>
    <xf numFmtId="0" fontId="4" fillId="3" borderId="0" pivotButton="0" quotePrefix="0" xfId="0"/>
    <xf numFmtId="3" fontId="5" fillId="2" borderId="0" pivotButton="0" quotePrefix="0" xfId="0"/>
    <xf numFmtId="165" fontId="4" fillId="3" borderId="0" pivotButton="0" quotePrefix="0" xfId="0"/>
    <xf numFmtId="0" fontId="6" fillId="0" borderId="0" applyAlignment="1" pivotButton="0" quotePrefix="0" xfId="0">
      <alignment vertical="center" wrapText="1"/>
    </xf>
    <xf numFmtId="3" fontId="1" fillId="3" borderId="0" pivotButton="0" quotePrefix="0" xfId="0"/>
    <xf numFmtId="164" fontId="4" fillId="3" borderId="0" pivotButton="0" quotePrefix="0" xfId="0"/>
    <xf numFmtId="0" fontId="7" fillId="4" borderId="0" applyAlignment="1" pivotButton="0" quotePrefix="0" xfId="0">
      <alignment horizontal="center" vertical="center"/>
    </xf>
    <xf numFmtId="0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0" customWidth="1" min="2" max="2"/>
  </cols>
  <sheetData>
    <row r="1"/>
    <row r="2">
      <c r="B2" s="1" t="inlineStr">
        <is>
          <t>등록금반환·휴학복학 상환전략 체크리스트</t>
        </is>
      </c>
    </row>
    <row r="3"/>
    <row r="4" ht="30" customHeight="1">
      <c r="B4" s="2" t="inlineStr">
        <is>
          <t>학기 개시일과 반환사유 발생일을 입력하면 등록금 반환비율·예상 반환액을 자동 계산하고, 졸업(예정)일을 입력하면 연체정보 등록유예 D-day를 자동 계산하는 'D-day계산기' 시트 + 신입생·재학생·졸업예정자 시나리오별 13개 항목을 준비 상태 드롭다운으로 정리한 '체크리스트' 시트로 구성됩니다.</t>
        </is>
      </c>
    </row>
    <row r="5" ht="30" customHeight="1">
      <c r="B5" s="3" t="inlineStr">
        <is>
          <t>이 체크리스트는 참고용 정리 도구입니다. 실제 반환 비율·연체정보 등록유예 기준은 재학 중인 학교의 학칙·학사운영규정과 한국장학재단 공지를 우선 확인하고, 신청 전 반드시 다시 점검하세요.</t>
        </is>
      </c>
    </row>
    <row r="6"/>
    <row r="7">
      <c r="B7" s="4" t="inlineStr">
        <is>
          <t>사용법</t>
        </is>
      </c>
    </row>
    <row r="8" ht="30" customHeight="1">
      <c r="B8" s="2" t="inlineStr">
        <is>
          <t>1. 'D-day계산기' 시트 노란색 칸에 학기 개시일·반환사유 발생일·기납부 등록금을 입력하면 경과일수·반환비율·예상 반환액이 자동으로 뜹니다.</t>
        </is>
      </c>
    </row>
    <row r="9" ht="30" customHeight="1">
      <c r="B9" s="2" t="inlineStr">
        <is>
          <t>2. 같은 시트 하단에 졸업(예정)일을 입력하면 연체정보 등록유예 만료일·D-day가 자동으로 뜹니다.</t>
        </is>
      </c>
    </row>
    <row r="10" ht="30" customHeight="1">
      <c r="B10" s="2" t="inlineStr">
        <is>
          <t>3. '체크리스트' 시트에서 본인의 상황(신입생/재학생 대출예정/졸업예정자)에 해당하는 구간부터 항목별 준비 상태를 드롭다운으로 기록하세요.</t>
        </is>
      </c>
    </row>
    <row r="11" ht="30" customHeight="1"/>
    <row r="12" ht="30" customHeight="1">
      <c r="B12" s="3" t="inlineStr">
        <is>
          <t>주의 — 등록금 반환비율표의 구체적 구간·일수 기준은 대학 등록금에 관한 규칙을 바탕으로 하지만 학교 학칙마다 세부 운영이 다를 수 있습니다. 연체정보 등록유예(졸업 후 3년)도 신용정보원·한국장학재단 공지로 최신 기준을 재확인하세요.</t>
        </is>
      </c>
    </row>
    <row r="13" ht="30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22" customWidth="1" min="3" max="3"/>
  </cols>
  <sheetData>
    <row r="2">
      <c r="B2" s="1" t="inlineStr">
        <is>
          <t>등록금 반환액 · 연체정보 등록유예 D-day 계산기</t>
        </is>
      </c>
    </row>
    <row r="4">
      <c r="B4" s="4" t="inlineStr">
        <is>
          <t>A. 등록금 반환액 계산</t>
        </is>
      </c>
    </row>
    <row r="5">
      <c r="B5" s="5" t="inlineStr">
        <is>
          <t>학기 개시일</t>
        </is>
      </c>
      <c r="C5" s="6" t="n">
        <v>46083</v>
      </c>
    </row>
    <row r="6">
      <c r="B6" s="5" t="inlineStr">
        <is>
          <t>반환사유(자퇴·미등록 등) 발생일</t>
        </is>
      </c>
      <c r="C6" s="6" t="n">
        <v>46101</v>
      </c>
    </row>
    <row r="7">
      <c r="B7" s="5" t="inlineStr">
        <is>
          <t>경과일수(자동, 발생일-개시일)</t>
        </is>
      </c>
      <c r="C7" s="7">
        <f>C6-C5</f>
        <v/>
      </c>
    </row>
    <row r="8">
      <c r="B8" s="5" t="inlineStr">
        <is>
          <t>기납부 등록금(원)</t>
        </is>
      </c>
      <c r="C8" s="8" t="n">
        <v>4500000</v>
      </c>
    </row>
    <row r="9">
      <c r="B9" s="5" t="inlineStr">
        <is>
          <t>적용 반환비율(자동)</t>
        </is>
      </c>
      <c r="C9" s="9">
        <f>VLOOKUP(C7,반환비율표!$B$2:$C$6,2,TRUE)</f>
        <v/>
      </c>
    </row>
    <row r="10">
      <c r="B10" s="10" t="inlineStr">
        <is>
          <t>예상 반환액(자동)</t>
        </is>
      </c>
      <c r="C10" s="11">
        <f>C8*C9</f>
        <v/>
      </c>
    </row>
    <row r="12">
      <c r="B12" s="4" t="inlineStr">
        <is>
          <t>B. 연체정보 등록유예 D-day</t>
        </is>
      </c>
    </row>
    <row r="13">
      <c r="B13" s="5" t="inlineStr">
        <is>
          <t>졸업(예정)일</t>
        </is>
      </c>
      <c r="C13" s="6" t="n">
        <v>46438</v>
      </c>
    </row>
    <row r="14">
      <c r="B14" s="5" t="inlineStr">
        <is>
          <t>연체정보 등록유예 만료일(자동, 졸업일+3년)</t>
        </is>
      </c>
      <c r="C14" s="12">
        <f>EDATE(C13,36)</f>
        <v/>
      </c>
    </row>
    <row r="15">
      <c r="B15" s="5" t="inlineStr">
        <is>
          <t>오늘 날짜(자동)</t>
        </is>
      </c>
      <c r="C15" s="12">
        <f>TODAY()</f>
        <v/>
      </c>
    </row>
    <row r="16">
      <c r="B16" s="5" t="inlineStr">
        <is>
          <t>D-day(자동, 만료일까지 남은 일수)</t>
        </is>
      </c>
      <c r="C16" s="7">
        <f>C14-C15</f>
        <v/>
      </c>
    </row>
    <row r="17">
      <c r="B17" s="5" t="inlineStr">
        <is>
          <t>상태(자동)</t>
        </is>
      </c>
      <c r="C17" s="7">
        <f>IF(C16&lt;=0,"유예기간 종료 — 연체 시 즉시 등록 위험",IF(C16&lt;=90,"유예 만료 임박 — 상환계획 점검","유예기간 중"))</f>
        <v/>
      </c>
    </row>
    <row r="19">
      <c r="B19" s="3" t="inlineStr">
        <is>
          <t>참고 — 연체정보 등록유예는 졸업 후 일정 기간(현재 3년, 과거 2년에서 확대) 동안 신용정보원 연체정보 등록을 유예하는 제도입니다. 유예기간이 끝난 뒤에도 계속 연체되면 결국 연체정보가 등록되는 구조라는 점을 함께 안내하세요.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36" customWidth="1" min="4" max="4"/>
  </cols>
  <sheetData>
    <row r="1">
      <c r="A1" s="13" t="inlineStr">
        <is>
          <t>구분</t>
        </is>
      </c>
      <c r="B1" s="13" t="inlineStr">
        <is>
          <t>경과일수 하한</t>
        </is>
      </c>
      <c r="C1" s="13" t="inlineStr">
        <is>
          <t>반환비율</t>
        </is>
      </c>
      <c r="D1" s="13" t="inlineStr">
        <is>
          <t>비고(경과일수 기준, 발생일-개시일)</t>
        </is>
      </c>
    </row>
    <row r="2">
      <c r="A2" s="14" t="inlineStr">
        <is>
          <t>개시일 전</t>
        </is>
      </c>
      <c r="B2" s="14" t="n">
        <v>-999999</v>
      </c>
      <c r="C2" s="15" t="n">
        <v>1</v>
      </c>
      <c r="D2" s="14" t="inlineStr">
        <is>
          <t>경과일수가 음수(개시일 이전 발생)</t>
        </is>
      </c>
    </row>
    <row r="3">
      <c r="A3" s="14" t="inlineStr">
        <is>
          <t>개시일~30일</t>
        </is>
      </c>
      <c r="B3" s="14" t="n">
        <v>0</v>
      </c>
      <c r="C3" s="15" t="n">
        <v>0.8333</v>
      </c>
      <c r="D3" s="14" t="inlineStr">
        <is>
          <t>수업료의 5/6</t>
        </is>
      </c>
    </row>
    <row r="4">
      <c r="A4" s="14" t="inlineStr">
        <is>
          <t>31일~60일</t>
        </is>
      </c>
      <c r="B4" s="14" t="n">
        <v>31</v>
      </c>
      <c r="C4" s="15" t="n">
        <v>0.6667</v>
      </c>
      <c r="D4" s="14" t="inlineStr">
        <is>
          <t>수업료의 2/3</t>
        </is>
      </c>
    </row>
    <row r="5">
      <c r="A5" s="14" t="inlineStr">
        <is>
          <t>61일~90일</t>
        </is>
      </c>
      <c r="B5" s="14" t="n">
        <v>61</v>
      </c>
      <c r="C5" s="15" t="n">
        <v>0.5</v>
      </c>
      <c r="D5" s="14" t="inlineStr">
        <is>
          <t>수업료의 1/2</t>
        </is>
      </c>
    </row>
    <row r="6">
      <c r="A6" s="14" t="inlineStr">
        <is>
          <t>91일 이후</t>
        </is>
      </c>
      <c r="B6" s="14" t="n">
        <v>91</v>
      </c>
      <c r="C6" s="15" t="n">
        <v>0</v>
      </c>
      <c r="D6" s="14" t="inlineStr">
        <is>
          <t>반환하지 않음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27"/>
  <sheetViews>
    <sheetView showGridLines="0" workbookViewId="0">
      <selection activeCell="A1" sqref="A1"/>
    </sheetView>
  </sheetViews>
  <sheetFormatPr baseColWidth="8" defaultRowHeight="15"/>
  <cols>
    <col width="2" customWidth="1" min="2" max="2"/>
    <col width="10" customWidth="1" min="3" max="3"/>
    <col width="68" customWidth="1" min="4" max="4"/>
    <col width="16" customWidth="1" min="5" max="5"/>
  </cols>
  <sheetData>
    <row r="2">
      <c r="B2" s="1" t="inlineStr">
        <is>
          <t>등록금반환·휴학복학 상환전략 체크리스트</t>
        </is>
      </c>
    </row>
    <row r="4">
      <c r="C4" s="4" t="inlineStr">
        <is>
          <t>신입생·재학생(국가장학금) 시나리오</t>
        </is>
      </c>
    </row>
    <row r="5">
      <c r="C5" s="13" t="inlineStr">
        <is>
          <t>번호</t>
        </is>
      </c>
      <c r="D5" s="13" t="inlineStr">
        <is>
          <t>점검 항목</t>
        </is>
      </c>
      <c r="E5" s="13" t="inlineStr">
        <is>
          <t>준비 상태</t>
        </is>
      </c>
    </row>
    <row r="6">
      <c r="C6" s="14" t="n">
        <v>1</v>
      </c>
      <c r="D6" s="2" t="inlineStr">
        <is>
          <t>가구 소득인정액·재산 구조 확인하고 예상 지원구간 1차 판정(계산기 A)</t>
        </is>
      </c>
      <c r="E6" s="14" t="inlineStr">
        <is>
          <t>미착수</t>
        </is>
      </c>
    </row>
    <row r="7">
      <c r="C7" s="14" t="n">
        <v>2</v>
      </c>
      <c r="D7" s="2" t="inlineStr">
        <is>
          <t>성적 요건(통상 B학점 또는 80점 이상, 신입생·장애학생 등은 완화) 충족 여부 확인</t>
        </is>
      </c>
      <c r="E7" s="14" t="inlineStr">
        <is>
          <t>미착수</t>
        </is>
      </c>
    </row>
    <row r="8">
      <c r="C8" s="14" t="n">
        <v>3</v>
      </c>
      <c r="D8" s="2" t="inlineStr">
        <is>
          <t>국가장학금 지원 추정액 반영한 학기당 실부담 등록금 확정</t>
        </is>
      </c>
      <c r="E8" s="14" t="inlineStr">
        <is>
          <t>미착수</t>
        </is>
      </c>
    </row>
    <row r="10">
      <c r="C10" s="4" t="inlineStr">
        <is>
          <t>대출 예정 재학생 시나리오</t>
        </is>
      </c>
    </row>
    <row r="11">
      <c r="C11" s="13" t="inlineStr">
        <is>
          <t>번호</t>
        </is>
      </c>
      <c r="D11" s="13" t="inlineStr">
        <is>
          <t>점검 항목</t>
        </is>
      </c>
      <c r="E11" s="13" t="inlineStr">
        <is>
          <t>준비 상태</t>
        </is>
      </c>
    </row>
    <row r="12">
      <c r="C12" s="14" t="n">
        <v>1</v>
      </c>
      <c r="D12" s="2" t="inlineStr">
        <is>
          <t>일반상환학자금대출 vs 취업후상환학자금대출(ICL) 유불리 비교(계산기 B)</t>
        </is>
      </c>
      <c r="E12" s="14" t="inlineStr">
        <is>
          <t>미착수</t>
        </is>
      </c>
    </row>
    <row r="13">
      <c r="C13" s="14" t="n">
        <v>2</v>
      </c>
      <c r="D13" s="2" t="inlineStr">
        <is>
          <t>생활비대출 필요 여부 및 소득구간 제한(대학원생 6구간까지) 확인</t>
        </is>
      </c>
      <c r="E13" s="14" t="inlineStr">
        <is>
          <t>미착수</t>
        </is>
      </c>
    </row>
    <row r="14">
      <c r="C14" s="14" t="n">
        <v>3</v>
      </c>
      <c r="D14" s="2" t="inlineStr">
        <is>
          <t>졸업까지 남은 학기 수 기준 총 학자금 부채 시뮬레이션(계산기 C)</t>
        </is>
      </c>
      <c r="E14" s="14" t="inlineStr">
        <is>
          <t>미착수</t>
        </is>
      </c>
    </row>
    <row r="15">
      <c r="C15" s="14" t="n">
        <v>4</v>
      </c>
      <c r="D15" s="2" t="inlineStr">
        <is>
          <t>휴학 계획이 있다면 복학 시 추가 납부 비율 사전 확인</t>
        </is>
      </c>
      <c r="E15" s="14" t="inlineStr">
        <is>
          <t>미착수</t>
        </is>
      </c>
    </row>
    <row r="17">
      <c r="C17" s="4" t="inlineStr">
        <is>
          <t>졸업(예정)·상환전략 시나리오</t>
        </is>
      </c>
    </row>
    <row r="18">
      <c r="C18" s="13" t="inlineStr">
        <is>
          <t>번호</t>
        </is>
      </c>
      <c r="D18" s="13" t="inlineStr">
        <is>
          <t>점검 항목</t>
        </is>
      </c>
      <c r="E18" s="13" t="inlineStr">
        <is>
          <t>준비 상태</t>
        </is>
      </c>
    </row>
    <row r="19">
      <c r="C19" s="14" t="n">
        <v>1</v>
      </c>
      <c r="D19" s="2" t="inlineStr">
        <is>
          <t>ICL 선택 시 상환기준소득 초과분 기준 연간 의무상환액 계산(계산기 B)</t>
        </is>
      </c>
      <c r="E19" s="14" t="inlineStr">
        <is>
          <t>미착수</t>
        </is>
      </c>
    </row>
    <row r="20">
      <c r="C20" s="14" t="n">
        <v>2</v>
      </c>
      <c r="D20" s="2" t="inlineStr">
        <is>
          <t>일반상환 선택 시 상환기간별 월 상환액·총이자 시나리오 비교(계산기 B)</t>
        </is>
      </c>
      <c r="E20" s="14" t="inlineStr">
        <is>
          <t>미착수</t>
        </is>
      </c>
    </row>
    <row r="21">
      <c r="C21" s="14" t="n">
        <v>3</v>
      </c>
      <c r="D21" s="2" t="inlineStr">
        <is>
          <t>연체정보 등록유예 D-day 확인하고 유예 만료 전 상환계획 점검(D-day계산기)</t>
        </is>
      </c>
      <c r="E21" s="14" t="inlineStr">
        <is>
          <t>미착수</t>
        </is>
      </c>
    </row>
    <row r="23">
      <c r="C23" s="4" t="inlineStr">
        <is>
          <t>반환·휴학 처리 시나리오</t>
        </is>
      </c>
    </row>
    <row r="24">
      <c r="C24" s="13" t="inlineStr">
        <is>
          <t>번호</t>
        </is>
      </c>
      <c r="D24" s="13" t="inlineStr">
        <is>
          <t>점검 항목</t>
        </is>
      </c>
      <c r="E24" s="13" t="inlineStr">
        <is>
          <t>준비 상태</t>
        </is>
      </c>
    </row>
    <row r="25">
      <c r="C25" s="14" t="n">
        <v>1</v>
      </c>
      <c r="D25" s="2" t="inlineStr">
        <is>
          <t>자퇴·미등록 등 반환사유 발생일 기준 반환비율·예상 반환액 확인(D-day계산기)</t>
        </is>
      </c>
      <c r="E25" s="14" t="inlineStr">
        <is>
          <t>미착수</t>
        </is>
      </c>
    </row>
    <row r="26">
      <c r="C26" s="14" t="n">
        <v>2</v>
      </c>
      <c r="D26" s="2" t="inlineStr">
        <is>
          <t>휴학 신청 시점이 수업일수의 몇 분의 몇 지점인지 확인해 복학 시 추가 납부 여부 점검</t>
        </is>
      </c>
      <c r="E26" s="14" t="inlineStr">
        <is>
          <t>미착수</t>
        </is>
      </c>
    </row>
    <row r="27">
      <c r="C27" s="14" t="n">
        <v>3</v>
      </c>
      <c r="D27" s="2" t="inlineStr">
        <is>
          <t>반환·복학 처리 관련 소속 학교 학칙·학사운영규정 최종 확인</t>
        </is>
      </c>
      <c r="E27" s="14" t="inlineStr">
        <is>
          <t>미착수</t>
        </is>
      </c>
    </row>
  </sheetData>
  <dataValidations count="1">
    <dataValidation sqref="E6 E7 E8 E12 E13 E14 E15 E19 E20 E21 E25 E26 E27" showDropDown="0" showInputMessage="0" showErrorMessage="0" allowBlank="0" type="list">
      <formula1>"미착수,준비중,준비완료,해당없음"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2026-10-25T21:13:09Z</dcterms:created>
  <dcterms:modified xmlns:dcterms="http://purl.org/dc/terms/" xmlns:xsi="http://www.w3.org/2001/XMLSchema-instance" xsi:type="dcterms:W3CDTF">2026-10-25T21:13:09Z</dcterms:modified>
</cp:coreProperties>
</file>