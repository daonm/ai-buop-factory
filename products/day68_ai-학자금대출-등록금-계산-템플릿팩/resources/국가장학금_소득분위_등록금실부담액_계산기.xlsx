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구간표" sheetId="2" state="visible" r:id="rId2"/>
    <sheet xmlns:r="http://schemas.openxmlformats.org/officeDocument/2006/relationships" name="계산기"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Noto Sans KR"/>
      <b val="1"/>
      <color rgb="FF262C3D"/>
      <sz val="13"/>
    </font>
    <font>
      <name val="Noto Sans KR"/>
      <color rgb="FF262C3D"/>
      <sz val="10"/>
    </font>
    <font>
      <name val="Noto Sans KR"/>
      <color rgb="FF565F72"/>
      <sz val="9.5"/>
    </font>
    <font>
      <name val="Noto Sans KR"/>
      <b val="1"/>
      <color rgb="FF262C3D"/>
      <sz val="11"/>
    </font>
    <font>
      <name val="Noto Sans KR"/>
      <b val="1"/>
      <color rgb="FFFFFFFF"/>
      <sz val="10"/>
    </font>
    <font>
      <name val="Noto Sans KR"/>
      <color rgb="FF262C3D"/>
      <sz val="11"/>
    </font>
    <font>
      <name val="Noto Sans KR"/>
      <color rgb="FF262C3D"/>
      <sz val="13"/>
    </font>
    <font>
      <name val="Noto Sans KR"/>
      <color rgb="FF262C3D"/>
      <sz val="12"/>
    </font>
    <font>
      <name val="Noto Sans KR"/>
      <b val="1"/>
      <color rgb="FF262C3D"/>
      <sz val="12"/>
    </font>
  </fonts>
  <fills count="5">
    <fill>
      <patternFill/>
    </fill>
    <fill>
      <patternFill patternType="gray125"/>
    </fill>
    <fill>
      <patternFill patternType="solid">
        <fgColor rgb="FFB87F1F"/>
      </patternFill>
    </fill>
    <fill>
      <patternFill patternType="solid">
        <fgColor rgb="FFFFF6D9"/>
      </patternFill>
    </fill>
    <fill>
      <patternFill patternType="solid">
        <fgColor rgb="FFE3E6CE"/>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5" fillId="2" borderId="0" applyAlignment="1" pivotButton="0" quotePrefix="0" xfId="0">
      <alignment horizontal="center" vertical="center"/>
    </xf>
    <xf numFmtId="0" fontId="2" fillId="0" borderId="0" pivotButton="0" quotePrefix="0" xfId="0"/>
    <xf numFmtId="0" fontId="6" fillId="0" borderId="0" applyAlignment="1" pivotButton="0" quotePrefix="0" xfId="0">
      <alignment vertical="center" wrapText="1"/>
    </xf>
    <xf numFmtId="3" fontId="6" fillId="3" borderId="0" pivotButton="0" quotePrefix="0" xfId="0"/>
    <xf numFmtId="0" fontId="6" fillId="3" borderId="0" pivotButton="0" quotePrefix="0" xfId="0"/>
    <xf numFmtId="164" fontId="4" fillId="4" borderId="0" pivotButton="0" quotePrefix="0" xfId="0"/>
    <xf numFmtId="3" fontId="4" fillId="4" borderId="0" pivotButton="0" quotePrefix="0" xfId="0"/>
    <xf numFmtId="0" fontId="7" fillId="0" borderId="0" applyAlignment="1" pivotButton="0" quotePrefix="0" xfId="0">
      <alignment vertical="center" wrapText="1"/>
    </xf>
    <xf numFmtId="0" fontId="1" fillId="4" borderId="0" pivotButton="0" quotePrefix="0" xfId="0"/>
    <xf numFmtId="0" fontId="8" fillId="0" borderId="0" applyAlignment="1" pivotButton="0" quotePrefix="0" xfId="0">
      <alignment vertical="center" wrapText="1"/>
    </xf>
    <xf numFmtId="3" fontId="9" fillId="4" borderId="0" pivotButton="0" quotePrefix="0" xfId="0"/>
    <xf numFmtId="3"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3"/>
  <sheetViews>
    <sheetView showGridLines="0" workbookViewId="0">
      <selection activeCell="A1" sqref="A1"/>
    </sheetView>
  </sheetViews>
  <sheetFormatPr baseColWidth="8" defaultRowHeight="15"/>
  <cols>
    <col width="2" customWidth="1" min="1" max="1"/>
    <col width="110" customWidth="1" min="2" max="2"/>
  </cols>
  <sheetData>
    <row r="1"/>
    <row r="2">
      <c r="B2" s="1" t="inlineStr">
        <is>
          <t>국가장학금 소득분위 · 등록금 실부담액 계산기</t>
        </is>
      </c>
    </row>
    <row r="3"/>
    <row r="4" ht="30" customHeight="1">
      <c r="B4" s="2" t="inlineStr">
        <is>
          <t>가구 소득인정액과 등록금 총액을 입력하면 2026년 기준 학자금 지원구간(1~9구간)을 추정 판정하고, 구간별 지원 단가를 적용한 국가장학금 지원 추정액과 실부담 등록금을 자동 계산합니다.</t>
        </is>
      </c>
    </row>
    <row r="5" ht="30" customHeight="1">
      <c r="B5" s="3" t="inlineStr">
        <is>
          <t>이 계산기는 확정 지원액이 아니라 참고용 추정 계산 도구입니다. 소득인정액은 소득평가액+재산의 소득환산액으로 산정되는 종합 지표라 단순 소득(연봉)만으로는 정확히 추정되지 않고, 구간별 지원 단가도 학기·연도별 고시로 바뀝니다. 실제 적용 전 반드시 한국장학재단(kosaf.go.kr) 소득인정액 모의계산·소득분위 산정결과 조회로 재확인하세요.</t>
        </is>
      </c>
    </row>
    <row r="6"/>
    <row r="7">
      <c r="B7" s="4" t="inlineStr">
        <is>
          <t>사용법</t>
        </is>
      </c>
    </row>
    <row r="8" ht="30" customHeight="1">
      <c r="B8" s="2" t="inlineStr">
        <is>
          <t>1. 'A. 소득구간 판정' 구간의 노란색 칸에 가구 월 소득인정액과 기준중위소득(100%, 4인가구 기준)을 입력하면 올리브색 칸에 추정 구간이 자동으로 뜹니다.</t>
        </is>
      </c>
    </row>
    <row r="9" ht="30" customHeight="1">
      <c r="B9" s="2" t="inlineStr">
        <is>
          <t>2. 기초생활수급자·차상위계층이면 'Y'를 입력하면 등록금 전액 지원으로 판정됩니다.</t>
        </is>
      </c>
    </row>
    <row r="10" ht="30" customHeight="1">
      <c r="B10" s="2" t="inlineStr">
        <is>
          <t>3. 'B. 등록금 실부담액' 구간에 학기당 등록금 총액을 입력하면 연간·학기당 국가장학금 지원 추정액과 실부담 등록금이 자동으로 뜹니다.</t>
        </is>
      </c>
    </row>
    <row r="11" ht="30" customHeight="1">
      <c r="B11" s="2" t="inlineStr">
        <is>
          <t>4. 이 결과(학기당 실부담 등록금)를 '학자금대출_상환액_비교_계산기(ICL_vs_일반상환).xlsx'와 '졸업시점_총학자금부채_시뮬레이션_계산기.xlsx'의 입력값으로 그대로 이어서 사용하세요.</t>
        </is>
      </c>
    </row>
    <row r="12" ht="30" customHeight="1"/>
    <row r="13" ht="30" customHeight="1">
      <c r="B13" s="3" t="inlineStr">
        <is>
          <t>주의 — 소득인정액 산정에는 가구원 수, 재산의 소득환산액, 형제자매 수에 따른 공제까지 포함되어 단순 소득만으로는 정확히 추정되지 않습니다. 구간표의 경곗값·지원 단가는 2026년 공개 자료를 바탕으로 정리한 기준값이며, 실제 소득분위·지원액은 한국장학재단 소득분위 산정결과 조회로 반드시 재확인하세요.</t>
        </is>
      </c>
    </row>
    <row r="14" ht="30"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10" customWidth="1" min="1" max="1"/>
    <col width="32" customWidth="1" min="2" max="2"/>
    <col width="20" customWidth="1" min="3" max="3"/>
  </cols>
  <sheetData>
    <row r="1">
      <c r="A1" s="5" t="inlineStr">
        <is>
          <t>구간</t>
        </is>
      </c>
      <c r="B1" s="5" t="inlineStr">
        <is>
          <t>소득인정액 하한(원, 4인가구 기준, 이 값부터 해당)</t>
        </is>
      </c>
      <c r="C1" s="5" t="inlineStr">
        <is>
          <t>연간 지원 단가(원, 일반기준)</t>
        </is>
      </c>
    </row>
    <row r="2">
      <c r="A2" s="6" t="n">
        <v>1</v>
      </c>
      <c r="B2" s="6" t="n">
        <v>0</v>
      </c>
      <c r="C2" s="6" t="n">
        <v>6000000</v>
      </c>
    </row>
    <row r="3">
      <c r="A3" s="6" t="n">
        <v>2</v>
      </c>
      <c r="B3" s="6" t="n">
        <v>1948422</v>
      </c>
      <c r="C3" s="6" t="n">
        <v>6000000</v>
      </c>
    </row>
    <row r="4">
      <c r="A4" s="6" t="n">
        <v>3</v>
      </c>
      <c r="B4" s="6" t="n">
        <v>3247370</v>
      </c>
      <c r="C4" s="6" t="n">
        <v>6000000</v>
      </c>
    </row>
    <row r="5">
      <c r="A5" s="6" t="n">
        <v>4</v>
      </c>
      <c r="B5" s="6" t="n">
        <v>4546318</v>
      </c>
      <c r="C5" s="6" t="n">
        <v>4400000</v>
      </c>
    </row>
    <row r="6">
      <c r="A6" s="6" t="n">
        <v>5</v>
      </c>
      <c r="B6" s="6" t="n">
        <v>5845265</v>
      </c>
      <c r="C6" s="6" t="n">
        <v>4400000</v>
      </c>
    </row>
    <row r="7">
      <c r="A7" s="6" t="n">
        <v>6</v>
      </c>
      <c r="B7" s="6" t="n">
        <v>6494739</v>
      </c>
      <c r="C7" s="6" t="n">
        <v>4400000</v>
      </c>
    </row>
    <row r="8">
      <c r="A8" s="6" t="n">
        <v>7</v>
      </c>
      <c r="B8" s="6" t="n">
        <v>8443160</v>
      </c>
      <c r="C8" s="6" t="n">
        <v>3600000</v>
      </c>
    </row>
    <row r="9">
      <c r="A9" s="6" t="n">
        <v>8</v>
      </c>
      <c r="B9" s="6" t="n">
        <v>9742108</v>
      </c>
      <c r="C9" s="6" t="n">
        <v>3600000</v>
      </c>
    </row>
    <row r="10">
      <c r="A10" s="6" t="n">
        <v>9</v>
      </c>
      <c r="B10" s="6" t="n">
        <v>12989477</v>
      </c>
      <c r="C10" s="6" t="n">
        <v>1000000</v>
      </c>
    </row>
    <row r="11">
      <c r="A11" s="6" t="n">
        <v>10</v>
      </c>
      <c r="B11" s="6" t="n">
        <v>19484215</v>
      </c>
      <c r="C11"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1"/>
  <sheetViews>
    <sheetView showGridLines="0" workbookViewId="0">
      <selection activeCell="A1" sqref="A1"/>
    </sheetView>
  </sheetViews>
  <sheetFormatPr baseColWidth="8" defaultRowHeight="15"/>
  <cols>
    <col width="2" customWidth="1" min="1" max="1"/>
    <col width="46" customWidth="1" min="2" max="2"/>
    <col width="20" customWidth="1" min="3" max="3"/>
  </cols>
  <sheetData>
    <row r="2">
      <c r="B2" s="1" t="inlineStr">
        <is>
          <t>국가장학금 소득분위 · 등록금 실부담액 계산기</t>
        </is>
      </c>
    </row>
    <row r="4">
      <c r="B4" s="4" t="inlineStr">
        <is>
          <t>A. 소득구간 판정</t>
        </is>
      </c>
    </row>
    <row r="5">
      <c r="B5" s="7" t="inlineStr">
        <is>
          <t>기준중위소득(100%, 월, 원) — 4인가구 기준(2026년)</t>
        </is>
      </c>
      <c r="C5" s="8" t="n">
        <v>6494738</v>
      </c>
    </row>
    <row r="6">
      <c r="B6" s="7" t="inlineStr">
        <is>
          <t>가구 월 소득인정액(원)</t>
        </is>
      </c>
      <c r="C6" s="8" t="n">
        <v>3000000</v>
      </c>
    </row>
    <row r="7">
      <c r="B7" s="7" t="inlineStr">
        <is>
          <t>기초생활수급자·차상위계층 여부(Y/N)</t>
        </is>
      </c>
      <c r="C7" s="9" t="inlineStr">
        <is>
          <t>N</t>
        </is>
      </c>
    </row>
    <row r="8">
      <c r="B8" s="7" t="inlineStr">
        <is>
          <t>소득인정액 비율(자동, 기준중위소득 대비)</t>
        </is>
      </c>
      <c r="C8" s="10">
        <f>C6/C5</f>
        <v/>
      </c>
    </row>
    <row r="9">
      <c r="B9" s="7" t="inlineStr">
        <is>
          <t>4인가구 환산 소득인정액(자동)</t>
        </is>
      </c>
      <c r="C9" s="11">
        <f>C8*6494738</f>
        <v/>
      </c>
    </row>
    <row r="10">
      <c r="B10" s="12" t="inlineStr">
        <is>
          <t>추정 학자금 지원구간(자동)</t>
        </is>
      </c>
      <c r="C10" s="13">
        <f>IF(C7="Y","기초/차상위(전액)","구간 "&amp;MATCH(C9,구간표!$B$2:$B$11,1))</f>
        <v/>
      </c>
    </row>
    <row r="11">
      <c r="B11" s="7" t="inlineStr">
        <is>
          <t>연간 지원 단가(일반기준, 자동)</t>
        </is>
      </c>
      <c r="C11" s="11">
        <f>VLOOKUP(C9,구간표!$B$2:$C$11,2,TRUE)</f>
        <v/>
      </c>
    </row>
    <row r="13">
      <c r="B13" s="4" t="inlineStr">
        <is>
          <t>B. 등록금 실부담액</t>
        </is>
      </c>
    </row>
    <row r="14">
      <c r="B14" s="7" t="inlineStr">
        <is>
          <t>학기당 등록금 총액(원)</t>
        </is>
      </c>
      <c r="C14" s="8" t="n">
        <v>4500000</v>
      </c>
    </row>
    <row r="15">
      <c r="B15" s="7" t="inlineStr">
        <is>
          <t>연간 등록금 총액(자동)</t>
        </is>
      </c>
      <c r="C15" s="11">
        <f>C14*2</f>
        <v/>
      </c>
    </row>
    <row r="16">
      <c r="B16" s="14" t="inlineStr">
        <is>
          <t>연간 국가장학금 지원 추정액(자동)</t>
        </is>
      </c>
      <c r="C16" s="15">
        <f>IF(C7="Y",C15,MIN(C15,C11))</f>
        <v/>
      </c>
    </row>
    <row r="17">
      <c r="B17" s="7" t="inlineStr">
        <is>
          <t>학기당 국가장학금 지원 추정액(자동)</t>
        </is>
      </c>
      <c r="C17" s="11">
        <f>C16/2</f>
        <v/>
      </c>
    </row>
    <row r="18">
      <c r="B18" s="7" t="inlineStr">
        <is>
          <t>연간 실부담 등록금(자동)</t>
        </is>
      </c>
      <c r="C18" s="11">
        <f>MAX(C15-C16,0)</f>
        <v/>
      </c>
    </row>
    <row r="19">
      <c r="B19" s="12" t="inlineStr">
        <is>
          <t>학기당 실부담 등록금(자동)</t>
        </is>
      </c>
      <c r="C19" s="16">
        <f>C18/2</f>
        <v/>
      </c>
    </row>
    <row r="21">
      <c r="B21" s="3" t="inlineStr">
        <is>
          <t>참고 — 이 값(학기당 실부담 등록금)을 '학자금대출_상환액_비교_계산기(ICL_vs_일반상환).xlsx'의 대출총액 입력값, '졸업시점_총학자금부채_시뮬레이션_계산기.xlsx'의 학기당 등록금 대출 예정액 입력값으로 그대로 이어서 사용하세요.</t>
        </is>
      </c>
    </row>
  </sheetData>
  <dataValidations count="1">
    <dataValidation sqref="C7" showDropDown="0" showInputMessage="0" showErrorMessage="0" allowBlank="0"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2026-10-25T21:13:09Z</dcterms:created>
  <dcterms:modified xmlns:dcterms="http://purl.org/dc/terms/" xmlns:xsi="http://www.w3.org/2001/XMLSchema-instance" xsi:type="dcterms:W3CDTF">2026-10-25T21:13:09Z</dcterms:modified>
</cp:coreProperties>
</file>