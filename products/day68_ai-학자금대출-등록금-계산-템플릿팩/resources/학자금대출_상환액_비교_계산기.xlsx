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name val="Noto Sans KR"/>
      <b val="1"/>
      <color rgb="FF262C3D"/>
      <sz val="13"/>
    </font>
    <font>
      <name val="Noto Sans KR"/>
      <color rgb="FF262C3D"/>
      <sz val="10"/>
    </font>
    <font>
      <name val="Noto Sans KR"/>
      <color rgb="FF565F72"/>
      <sz val="9.5"/>
    </font>
    <font>
      <name val="Noto Sans KR"/>
      <b val="1"/>
      <color rgb="FF262C3D"/>
      <sz val="11"/>
    </font>
    <font>
      <name val="Noto Sans KR"/>
      <color rgb="FF262C3D"/>
      <sz val="11"/>
    </font>
    <font>
      <name val="Noto Sans KR"/>
      <color rgb="FF262C3D"/>
      <sz val="13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3" fontId="5" fillId="2" borderId="0" pivotButton="0" quotePrefix="0" xfId="0"/>
    <xf numFmtId="3" fontId="4" fillId="3" borderId="0" pivotButton="0" quotePrefix="0" xfId="0"/>
    <xf numFmtId="9" fontId="5" fillId="2" borderId="0" pivotButton="0" quotePrefix="0" xfId="0"/>
    <xf numFmtId="0" fontId="6" fillId="0" borderId="0" applyAlignment="1" pivotButton="0" quotePrefix="0" xfId="0">
      <alignment vertical="center" wrapText="1"/>
    </xf>
    <xf numFmtId="3" fontId="1" fillId="3" borderId="0" pivotButton="0" quotePrefix="0" xfId="0"/>
    <xf numFmtId="164" fontId="5" fillId="2" borderId="0" pivotButton="0" quotePrefix="0" xfId="0"/>
    <xf numFmtId="0" fontId="5" fillId="2" borderId="0" pivotButton="0" quotePrefix="0" xfId="0"/>
    <xf numFmtId="165" fontId="4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/>
    <row r="2">
      <c r="B2" s="1" t="inlineStr">
        <is>
          <t>학자금대출 상환액 비교 계산기 (ICL vs 일반상환)</t>
        </is>
      </c>
    </row>
    <row r="3"/>
    <row r="4" ht="30" customHeight="1">
      <c r="B4" s="2" t="inlineStr">
        <is>
          <t>연간 소득과 대출 조건을 입력하면 취업후상환학자금대출(ICL)의 연간 의무상환액과 일반상환학자금대출의 월 상환액·총이자를 각각 계산하고, 현재 소득 기준으로 어느 쪽 상환 부담이 더 낮은지 비교합니다.</t>
        </is>
      </c>
    </row>
    <row r="5" ht="30" customHeight="1">
      <c r="B5" s="3" t="inlineStr">
        <is>
          <t>이 계산기는 확정 상환액이 아니라 참고용 추정 계산 도구입니다. 상환기준소득·금리·상환율은 매년(또는 학기별) 고시로 바뀌므로, 실제 적용 전 반드시 한국장학재단(studentloan.or.kr) 학자금대출 상환 시뮬레이션으로 재확인하세요.</t>
        </is>
      </c>
    </row>
    <row r="6"/>
    <row r="7">
      <c r="B7" s="4" t="inlineStr">
        <is>
          <t>사용법</t>
        </is>
      </c>
    </row>
    <row r="8" ht="30" customHeight="1">
      <c r="B8" s="2" t="inlineStr">
        <is>
          <t>1. 'A. ICL 의무상환액' 구간의 노란색 칸에 연간 소득을 입력하면 상환기준소득 초과분에 상환율을 곱한 연간 의무상환액이 자동으로 뜹니다.</t>
        </is>
      </c>
    </row>
    <row r="9" ht="30" customHeight="1">
      <c r="B9" s="2" t="inlineStr">
        <is>
          <t>2. 'B. 일반상환 월 상환액' 구간에 대출총액·금리·상환기간을 입력하면 원리금균등분할상환 기준 월 상환액과 총이자가 자동으로 뜹니다.</t>
        </is>
      </c>
    </row>
    <row r="10" ht="30" customHeight="1">
      <c r="B10" s="2" t="inlineStr">
        <is>
          <t>3. 'C. 비교 요약' 구간에서 현재 소득 기준으로 어느 쪽 연간 상환 부담이 더 낮은지 자동으로 비교해줍니다.</t>
        </is>
      </c>
    </row>
    <row r="11" ht="30" customHeight="1">
      <c r="B11" s="2" t="inlineStr">
        <is>
          <t>4. 대출총액 입력값은 '국가장학금_소득분위_등록금실부담액_계산기.xlsx'의 학기당 실부담 등록금 × 대출 예정 학기 수, 또는 '졸업시점_총학자금부채_시뮬레이션_계산기.xlsx'의 총 대출 예상액을 그대로 가져와 사용하세요.</t>
        </is>
      </c>
    </row>
    <row r="12" ht="30" customHeight="1"/>
    <row r="13" ht="30" customHeight="1">
      <c r="B13" s="3" t="inlineStr">
        <is>
          <t>주의 — "ICL은 안 갚아도 되는 대출"이 아닙니다. 소득이 상환기준소득을 넘는 순간부터 반드시 의무상환이 시작되는 대출이라는 점을 상담 시 함께 안내하세요.</t>
        </is>
      </c>
    </row>
    <row r="14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0" customWidth="1" min="3" max="3"/>
  </cols>
  <sheetData>
    <row r="2">
      <c r="B2" s="1" t="inlineStr">
        <is>
          <t>학자금대출 상환액 비교 계산기 (ICL vs 일반상환)</t>
        </is>
      </c>
    </row>
    <row r="4">
      <c r="B4" s="4" t="inlineStr">
        <is>
          <t>A. 취업후상환학자금대출(ICL) 의무상환액</t>
        </is>
      </c>
    </row>
    <row r="5">
      <c r="B5" s="5" t="inlineStr">
        <is>
          <t>연간 소득(근로·사업소득 등, 원)</t>
        </is>
      </c>
      <c r="C5" s="6" t="n">
        <v>35000000</v>
      </c>
    </row>
    <row r="6">
      <c r="B6" s="5" t="inlineStr">
        <is>
          <t>2026년 상환기준소득(원)</t>
        </is>
      </c>
      <c r="C6" s="6" t="n">
        <v>30370000</v>
      </c>
    </row>
    <row r="7">
      <c r="B7" s="5" t="inlineStr">
        <is>
          <t>상환기준소득 초과분(자동)</t>
        </is>
      </c>
      <c r="C7" s="7">
        <f>MAX(C5-C6,0)</f>
        <v/>
      </c>
    </row>
    <row r="8">
      <c r="B8" s="5" t="inlineStr">
        <is>
          <t>의무상환율(학부 20% / 대학원 25%)</t>
        </is>
      </c>
      <c r="C8" s="8" t="n">
        <v>0.2</v>
      </c>
    </row>
    <row r="9">
      <c r="B9" s="5" t="inlineStr">
        <is>
          <t>연간 의무상환액 1차(자동)</t>
        </is>
      </c>
      <c r="C9" s="7">
        <f>C7*C8</f>
        <v/>
      </c>
    </row>
    <row r="10">
      <c r="B10" s="5" t="inlineStr">
        <is>
          <t>전년도 자발적 상환액(원, 차감분)</t>
        </is>
      </c>
      <c r="C10" s="6" t="n">
        <v>0</v>
      </c>
    </row>
    <row r="11">
      <c r="B11" s="9" t="inlineStr">
        <is>
          <t>연간 의무상환액 실제(자동, 차감 후)</t>
        </is>
      </c>
      <c r="C11" s="10">
        <f>MAX(C9-C10,0)</f>
        <v/>
      </c>
    </row>
    <row r="12">
      <c r="B12" s="5" t="inlineStr">
        <is>
          <t>월 평균 상환액(자동)</t>
        </is>
      </c>
      <c r="C12" s="7">
        <f>C11/12</f>
        <v/>
      </c>
    </row>
    <row r="14">
      <c r="B14" s="4" t="inlineStr">
        <is>
          <t>B. 일반상환학자금대출 월 상환액</t>
        </is>
      </c>
    </row>
    <row r="15">
      <c r="B15" s="5" t="inlineStr">
        <is>
          <t>대출총액(원)</t>
        </is>
      </c>
      <c r="C15" s="6" t="n">
        <v>18000000</v>
      </c>
    </row>
    <row r="16">
      <c r="B16" s="5" t="inlineStr">
        <is>
          <t>연 금리(2026년 기준)</t>
        </is>
      </c>
      <c r="C16" s="11" t="n">
        <v>0.017</v>
      </c>
    </row>
    <row r="17">
      <c r="B17" s="5" t="inlineStr">
        <is>
          <t>상환기간(년)</t>
        </is>
      </c>
      <c r="C17" s="12" t="n">
        <v>10</v>
      </c>
    </row>
    <row r="18">
      <c r="B18" s="5" t="inlineStr">
        <is>
          <t>월 금리(자동)</t>
        </is>
      </c>
      <c r="C18" s="13">
        <f>C16/12</f>
        <v/>
      </c>
    </row>
    <row r="19">
      <c r="B19" s="5" t="inlineStr">
        <is>
          <t>상환회차(개월, 자동)</t>
        </is>
      </c>
      <c r="C19" s="14">
        <f>C17*12</f>
        <v/>
      </c>
    </row>
    <row r="20">
      <c r="B20" s="9" t="inlineStr">
        <is>
          <t>월 상환액(원리금균등, 자동)</t>
        </is>
      </c>
      <c r="C20" s="10">
        <f>-PMT(C18,C19,C15)</f>
        <v/>
      </c>
    </row>
    <row r="21">
      <c r="B21" s="5" t="inlineStr">
        <is>
          <t>총 납부액(자동)</t>
        </is>
      </c>
      <c r="C21" s="7">
        <f>C20*C19</f>
        <v/>
      </c>
    </row>
    <row r="22">
      <c r="B22" s="5" t="inlineStr">
        <is>
          <t>총 이자(자동)</t>
        </is>
      </c>
      <c r="C22" s="7">
        <f>C21-C15</f>
        <v/>
      </c>
    </row>
    <row r="24">
      <c r="B24" s="4" t="inlineStr">
        <is>
          <t>C. 비교 요약</t>
        </is>
      </c>
    </row>
    <row r="25">
      <c r="B25" s="5" t="inlineStr">
        <is>
          <t>ICL 연간 실제 상환액(참조, 자동)</t>
        </is>
      </c>
      <c r="C25" s="7">
        <f>C11</f>
        <v/>
      </c>
    </row>
    <row r="26">
      <c r="B26" s="5" t="inlineStr">
        <is>
          <t>일반상환 연간 상환액(참조, 자동)</t>
        </is>
      </c>
      <c r="C26" s="7">
        <f>C20*12</f>
        <v/>
      </c>
    </row>
    <row r="27" ht="30" customHeight="1">
      <c r="B27" s="5" t="inlineStr">
        <is>
          <t>현재 소득 기준 추천(자동)</t>
        </is>
      </c>
      <c r="C27" s="14">
        <f>IF(C5&lt;=C6,"ICL — 소득이 상환기준소득 이하라 당장 의무상환 없음(유예)",IF(C25&lt;C26,"ICL이 연 상환부담 더 낮음(단, 소득 상승 시 ICL 상환액도 증가)","일반상환이 연 상환부담 더 낮음(단, 소득 무관 고정 상환)"))</f>
        <v/>
      </c>
    </row>
    <row r="29">
      <c r="B29" s="3" t="inlineStr">
        <is>
          <t>참고 — ICL은 소득이 오를수록 상환액도 함께 늘어나는 구조이고, 일반상환은 소득과 무관하게 고정 금액을 상환하는 구조입니다. 두 수치를 단순 비교하는 것을 넘어, 졸업 후 예상 소득 전망과 함께 안내하세요.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2026-10-25T21:13:09Z</dcterms:created>
  <dcterms:modified xmlns:dcterms="http://purl.org/dc/terms/" xmlns:xsi="http://www.w3.org/2001/XMLSchema-instance" xsi:type="dcterms:W3CDTF">2026-10-25T21:13:09Z</dcterms:modified>
</cp:coreProperties>
</file>