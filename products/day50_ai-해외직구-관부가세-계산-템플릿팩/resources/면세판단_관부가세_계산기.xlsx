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262C3D"/>
      <sz val="14"/>
    </font>
    <font>
      <b val="1"/>
      <color rgb="00B87F1F"/>
    </font>
    <font>
      <color rgb="00262C3D"/>
    </font>
    <font>
      <color rgb="00565F72"/>
      <sz val="10"/>
    </font>
    <font>
      <b val="1"/>
      <color rgb="00262C3D"/>
      <sz val="13"/>
    </font>
    <font>
      <b val="1"/>
      <color rgb="00262C3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87F1F"/>
      </patternFill>
    </fill>
    <fill>
      <patternFill patternType="solid">
        <fgColor rgb="00FFF6D9"/>
      </patternFill>
    </fill>
    <fill>
      <patternFill patternType="solid">
        <fgColor rgb="00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2" borderId="0" pivotButton="0" quotePrefix="0" xfId="0"/>
    <xf numFmtId="10" fontId="3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10" fontId="0" fillId="3" borderId="0" pivotButton="0" quotePrefix="0" xfId="0"/>
    <xf numFmtId="3" fontId="0" fillId="3" borderId="0" pivotButton="0" quotePrefix="0" xfId="0"/>
    <xf numFmtId="4" fontId="0" fillId="4" borderId="0" pivotButton="0" quotePrefix="0" xfId="0"/>
    <xf numFmtId="3" fontId="0" fillId="4" borderId="0" pivotButton="0" quotePrefix="0" xfId="0"/>
    <xf numFmtId="0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>
      <c r="B2" s="1" t="inlineStr">
        <is>
          <t>해외직구 면세판단·관부가세 계산기</t>
        </is>
      </c>
    </row>
    <row r="4">
      <c r="B4" s="2" t="inlineStr">
        <is>
          <t>⚠ 사용 전 꼭 읽어주세요</t>
        </is>
      </c>
    </row>
    <row r="5">
      <c r="B5" s="3" t="inlineStr">
        <is>
          <t>본 계산기는 목록통관 면세 기준(미국 200달러·그 외 150달러)·관세청 과세환율·품목별 간이세율·부가세율(10%)을 반영해</t>
        </is>
      </c>
    </row>
    <row r="6">
      <c r="B6" s="3" t="inlineStr">
        <is>
          <t>해외직구 물품의 예상 관부가세를 계산하는 참고용 도구입니다. (기준: 2026년 10월 확인)</t>
        </is>
      </c>
    </row>
    <row r="8">
      <c r="B8" s="2" t="inlineStr">
        <is>
          <t>사용법</t>
        </is>
      </c>
    </row>
    <row r="9">
      <c r="B9" s="3" t="inlineStr">
        <is>
          <t>① '계산기' 시트 상단 참고표에서 면세 기준·품목별 간이세율(일반 참고 구간)을 확인</t>
        </is>
      </c>
    </row>
    <row r="10">
      <c r="B10" s="3" t="inlineStr">
        <is>
          <t>② 관세청 유니패스(unipass.customs.go.kr)에서 그 주의 과세환율을 직접 확인해 노란색 칸에 입력</t>
        </is>
      </c>
    </row>
    <row r="11">
      <c r="B11" s="3" t="inlineStr">
        <is>
          <t>③ 노란색 칸(조건 입력)에 발송 국가, 물품가격(달러), 국제배송비(달러), 품목, 관세율을 입력</t>
        </is>
      </c>
    </row>
    <row r="12">
      <c r="B12" s="3" t="inlineStr">
        <is>
          <t>④ 올리브색 칸에서 면세 여부 → 원화 과세가격 → 관세 → 부가세 → 총 관부가세·최종 총지출까지 자동 계산</t>
        </is>
      </c>
    </row>
    <row r="13">
      <c r="B13" s="3" t="inlineStr">
        <is>
          <t>⑤ 같은 날 같은 판매자에게 추가로 주문한 건이 있다면 '합산과세_시나리오비교_계산기.xlsx'로 넘어가서 합산 여부를 다시 확인</t>
        </is>
      </c>
    </row>
    <row r="15" ht="30" customHeight="1">
      <c r="B15" s="4" t="inlineStr">
        <is>
          <t>이 계산기는 확정 세액이 아니라 참고용 추정치입니다. 관세율은 품목의 정확한 HS코드에 따라 달라지므로, 실제 통관 전 관세청 관부가세 계산기나 관세사 확인으로 재검증하세요.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30" customWidth="1" min="4" max="4"/>
  </cols>
  <sheetData>
    <row r="1">
      <c r="A1" s="5" t="inlineStr">
        <is>
          <t>해외직구 면세판단·관부가세 계산기</t>
        </is>
      </c>
    </row>
    <row r="2"/>
    <row r="3">
      <c r="A3" s="6" t="inlineStr">
        <is>
          <t>① 면세 기준 · 품목별 간이세율 참고표</t>
        </is>
      </c>
    </row>
    <row r="4">
      <c r="A4" s="7" t="inlineStr">
        <is>
          <t>구분</t>
        </is>
      </c>
      <c r="B4" s="7" t="inlineStr">
        <is>
          <t>기준/세율</t>
        </is>
      </c>
    </row>
    <row r="5">
      <c r="A5" s="3" t="inlineStr">
        <is>
          <t>면세 기준 — 미국 발송 (달러)</t>
        </is>
      </c>
      <c r="B5" s="3" t="n">
        <v>200</v>
      </c>
    </row>
    <row r="6">
      <c r="A6" s="3" t="inlineStr">
        <is>
          <t>면세 기준 — 미국 외 발송 (달러)</t>
        </is>
      </c>
      <c r="B6" s="3" t="n">
        <v>150</v>
      </c>
    </row>
    <row r="7">
      <c r="A7" s="3" t="inlineStr">
        <is>
          <t>부가가치세율</t>
        </is>
      </c>
      <c r="B7" s="3" t="n">
        <v>0.1</v>
      </c>
    </row>
    <row r="8"/>
    <row r="9">
      <c r="A9" s="6" t="inlineStr">
        <is>
          <t>품목별 간이세율(일반 참고 구간 — 실제는 HS코드 기준 재확인 필요)</t>
        </is>
      </c>
    </row>
    <row r="10">
      <c r="A10" s="7" t="inlineStr">
        <is>
          <t>품목</t>
        </is>
      </c>
      <c r="B10" s="7" t="inlineStr">
        <is>
          <t>참고 관세율</t>
        </is>
      </c>
    </row>
    <row r="11">
      <c r="A11" s="3" t="inlineStr">
        <is>
          <t>의류</t>
        </is>
      </c>
      <c r="B11" s="8" t="n">
        <v>0.13</v>
      </c>
    </row>
    <row r="12">
      <c r="A12" s="3" t="inlineStr">
        <is>
          <t>신발</t>
        </is>
      </c>
      <c r="B12" s="8" t="n">
        <v>0.13</v>
      </c>
    </row>
    <row r="13">
      <c r="A13" s="3" t="inlineStr">
        <is>
          <t>가방·지갑</t>
        </is>
      </c>
      <c r="B13" s="8" t="n">
        <v>0.08</v>
      </c>
    </row>
    <row r="14">
      <c r="A14" s="3" t="inlineStr">
        <is>
          <t>시계·귀금속</t>
        </is>
      </c>
      <c r="B14" s="8" t="n">
        <v>0.08</v>
      </c>
    </row>
    <row r="15">
      <c r="A15" s="3" t="inlineStr">
        <is>
          <t>화장품(일반)</t>
        </is>
      </c>
      <c r="B15" s="8" t="n">
        <v>0.06569999999999999</v>
      </c>
    </row>
    <row r="16">
      <c r="A16" s="3" t="inlineStr">
        <is>
          <t>완구·게임</t>
        </is>
      </c>
      <c r="B16" s="8" t="n">
        <v>0</v>
      </c>
    </row>
    <row r="17">
      <c r="A17" s="3" t="inlineStr">
        <is>
          <t>서적</t>
        </is>
      </c>
      <c r="B17" s="8" t="n">
        <v>0</v>
      </c>
    </row>
    <row r="18">
      <c r="A18" s="3" t="inlineStr">
        <is>
          <t>전자기기(일반 소형가전)</t>
        </is>
      </c>
      <c r="B18" s="8" t="n">
        <v>0</v>
      </c>
    </row>
    <row r="19">
      <c r="A19" s="3" t="inlineStr">
        <is>
          <t>건강기능식품·영양제</t>
        </is>
      </c>
      <c r="B19" s="8" t="n">
        <v>0.06569999999999999</v>
      </c>
    </row>
    <row r="20">
      <c r="A20" s="3" t="inlineStr">
        <is>
          <t>기타(직접 입력)</t>
        </is>
      </c>
      <c r="B20" s="8" t="n">
        <v>0.08</v>
      </c>
    </row>
    <row r="21"/>
    <row r="22">
      <c r="A22" s="6" t="inlineStr">
        <is>
          <t>② 조건 입력</t>
        </is>
      </c>
    </row>
    <row r="23">
      <c r="A23" s="3" t="inlineStr">
        <is>
          <t>발송 국가 (미국/그 외)</t>
        </is>
      </c>
      <c r="B23" s="9" t="inlineStr">
        <is>
          <t>미국</t>
        </is>
      </c>
    </row>
    <row r="24">
      <c r="A24" s="3" t="inlineStr">
        <is>
          <t>물품가격 (달러)</t>
        </is>
      </c>
      <c r="B24" s="10" t="n">
        <v>180</v>
      </c>
    </row>
    <row r="25">
      <c r="A25" s="3" t="inlineStr">
        <is>
          <t>국제배송비 (달러)</t>
        </is>
      </c>
      <c r="B25" s="10" t="n">
        <v>15</v>
      </c>
    </row>
    <row r="26">
      <c r="A26" s="3" t="inlineStr">
        <is>
          <t>품목 (위 참고표에서 선택)</t>
        </is>
      </c>
      <c r="B26" s="9" t="inlineStr">
        <is>
          <t>의류</t>
        </is>
      </c>
    </row>
    <row r="27">
      <c r="A27" s="3" t="inlineStr">
        <is>
          <t>적용 관세율 (참고표 선택 시 자동, 직접 수정 가능)</t>
        </is>
      </c>
      <c r="B27" s="11">
        <f>IFERROR(VLOOKUP(B26,A11:B20,2,FALSE),0.08)</f>
        <v/>
      </c>
    </row>
    <row r="28">
      <c r="A28" s="3" t="inlineStr">
        <is>
          <t>관세청 과세환율 (원/달러, 유니패스에서 직접 확인 후 입력)</t>
        </is>
      </c>
      <c r="B28" s="12" t="n">
        <v>1380</v>
      </c>
    </row>
    <row r="29"/>
    <row r="30">
      <c r="A30" s="6" t="inlineStr">
        <is>
          <t>③ 계산 결과 — 면세 판단</t>
        </is>
      </c>
    </row>
    <row r="31">
      <c r="A31" s="3" t="inlineStr">
        <is>
          <t>물품가격+배송비 합계 (달러)</t>
        </is>
      </c>
      <c r="B31" s="13">
        <f>B24+B25</f>
        <v/>
      </c>
    </row>
    <row r="32">
      <c r="A32" s="3" t="inlineStr">
        <is>
          <t>적용 면세 기준 (달러)</t>
        </is>
      </c>
      <c r="B32" s="14">
        <f>IF(B23="미국",B5,B6)</f>
        <v/>
      </c>
    </row>
    <row r="33">
      <c r="A33" s="3" t="inlineStr">
        <is>
          <t>면세 대상 여부 (1달러라도 초과 시 전체 금액 과세)</t>
        </is>
      </c>
      <c r="B33" s="15">
        <f>IF(B31&lt;=B32,"면세 대상","과세 대상 (전체 금액 과세)")</f>
        <v/>
      </c>
    </row>
    <row r="34"/>
    <row r="35">
      <c r="A35" s="6" t="inlineStr">
        <is>
          <t>④ 계산 결과 — 원화 과세가격 환산</t>
        </is>
      </c>
    </row>
    <row r="36">
      <c r="A36" s="3" t="inlineStr">
        <is>
          <t>원화 과세가격 (CIF, 합계 × 과세환율)</t>
        </is>
      </c>
      <c r="B36" s="14">
        <f>ROUND(B31*B28,0)</f>
        <v/>
      </c>
    </row>
    <row r="37"/>
    <row r="38">
      <c r="A38" s="6" t="inlineStr">
        <is>
          <t>⑤ 계산 결과 — 관세·부가세</t>
        </is>
      </c>
    </row>
    <row r="39">
      <c r="A39" s="3" t="inlineStr">
        <is>
          <t>예상 관세 (원화 과세가격 × 적용 관세율, 면세 시 0)</t>
        </is>
      </c>
      <c r="B39" s="14">
        <f>IF(B33="면세 대상",0,ROUND(B36*B27,0))</f>
        <v/>
      </c>
    </row>
    <row r="40">
      <c r="A40" s="3" t="inlineStr">
        <is>
          <t>부가세 과세표준 (원화 과세가격 + 관세)</t>
        </is>
      </c>
      <c r="B40" s="14">
        <f>B36+B39</f>
        <v/>
      </c>
    </row>
    <row r="41">
      <c r="A41" s="3" t="inlineStr">
        <is>
          <t>예상 부가세 (과세표준 × 10%, 면세 시 0)</t>
        </is>
      </c>
      <c r="B41" s="14">
        <f>IF(B33="면세 대상",0,ROUND(B40*B7,0))</f>
        <v/>
      </c>
    </row>
    <row r="42"/>
    <row r="43">
      <c r="A43" s="6" t="inlineStr">
        <is>
          <t>⑥ 최종 결과</t>
        </is>
      </c>
    </row>
    <row r="44">
      <c r="A44" s="3" t="inlineStr">
        <is>
          <t>총 예상 관부가세 (관세 + 부가세)</t>
        </is>
      </c>
      <c r="B44" s="14">
        <f>B39+B41</f>
        <v/>
      </c>
    </row>
    <row r="45">
      <c r="A45" s="3" t="inlineStr">
        <is>
          <t>최종 총 지출액 (원화 과세가격 + 총 관부가세)</t>
        </is>
      </c>
      <c r="B45" s="14">
        <f>B36+B44</f>
        <v/>
      </c>
    </row>
    <row r="46">
      <c r="A46" s="3" t="inlineStr">
        <is>
          <t>물품가격 대비 추가 비용 비율</t>
        </is>
      </c>
      <c r="B46" s="16">
        <f>IF(B36=0,0,B44/B36)</f>
        <v/>
      </c>
    </row>
    <row r="48">
      <c r="A48" s="6" t="inlineStr">
        <is>
          <t>참고</t>
        </is>
      </c>
    </row>
    <row r="49" ht="30" customHeight="1">
      <c r="A49" s="4" t="inlineStr">
        <is>
          <t>면세 기준·과세환율·간이세율은 관세청 고시·정책에 따라 수시로 바뀝니다. 이 계산기는 조사 시점 기준의 일반 규정을 반영한 참고용 추정치이며, 애매한 품목·고가 물품은 반드시 관세청 유니패스(unipass.customs.go.kr)나 관세사 확인을 거치세요.</t>
        </is>
      </c>
    </row>
  </sheetData>
  <mergeCells count="1">
    <mergeCell ref="A49:D49"/>
  </mergeCells>
  <dataValidations count="2">
    <dataValidation sqref="B23" showDropDown="0" showInputMessage="0" showErrorMessage="0" allowBlank="0" type="list">
      <formula1>"미국,그 외"</formula1>
    </dataValidation>
    <dataValidation sqref="B26" showDropDown="0" showInputMessage="0" showErrorMessage="0" allowBlank="0" type="list">
      <formula1>=$A$11:$A$20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2026-10-07T21:23:45Z</dcterms:created>
  <dcterms:modified xmlns:dcterms="http://purl.org/dc/terms/" xmlns:xsi="http://www.w3.org/2001/XMLSchema-instance" xsi:type="dcterms:W3CDTF">2026-10-07T21:23:45Z</dcterms:modified>
</cp:coreProperties>
</file>