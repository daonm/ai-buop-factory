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</font>
    <font>
      <color rgb="00262C3D"/>
    </font>
    <font>
      <color rgb="00565F72"/>
      <sz val="10"/>
    </font>
    <font>
      <b val="1"/>
      <color rgb="00262C3D"/>
      <sz val="13"/>
    </font>
    <font>
      <b val="1"/>
      <color rgb="00262C3D"/>
    </font>
    <font>
      <b val="1"/>
      <color rgb="00FFFFFF"/>
    </font>
    <font>
      <color rgb="00565F72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9" fontId="0" fillId="0" borderId="0" pivotButton="0" quotePrefix="0" xfId="0"/>
    <xf numFmtId="0" fontId="0" fillId="3" borderId="0" pivotButton="0" quotePrefix="0" xfId="0"/>
    <xf numFmtId="9" fontId="0" fillId="4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품목별 추가세금·주의사항 계산기 (주류·건기식·전자기기)</t>
        </is>
      </c>
    </row>
    <row r="4">
      <c r="B4" s="2" t="inlineStr">
        <is>
          <t>⚠ 사용 전 꼭 읽어주세요</t>
        </is>
      </c>
    </row>
    <row r="5">
      <c r="B5" s="3" t="inlineStr">
        <is>
          <t>주류·건강기능식품·전자기기는 '면세판단_관부가세_계산기'의 관세+부가세 계산만으로 끝나지 않습니다.</t>
        </is>
      </c>
    </row>
    <row r="6">
      <c r="B6" s="3" t="inlineStr">
        <is>
          <t>이 계산기는 주류에 추가로 붙는 주세·교육세를 계산하고, 건강기능식품·전자기기의 통관 주의사항을</t>
        </is>
      </c>
    </row>
    <row r="7">
      <c r="B7" s="3" t="inlineStr">
        <is>
          <t>체크리스트로 정리한 도구입니다. (기준: 2026년 10월 확인)</t>
        </is>
      </c>
    </row>
    <row r="9">
      <c r="B9" s="2" t="inlineStr">
        <is>
          <t>사용법</t>
        </is>
      </c>
    </row>
    <row r="10">
      <c r="B10" s="3" t="inlineStr">
        <is>
          <t>① '계산기' 시트에서 '면세판단_관부가세_계산기'로 먼저 구한 원화 과세가격·관세를 입력</t>
        </is>
      </c>
    </row>
    <row r="11">
      <c r="B11" s="3" t="inlineStr">
        <is>
          <t>② 주종을 선택하면 참고표의 주세율·교육세율이 자동 반영되어 주세·교육세·추가 부가세까지 계산</t>
        </is>
      </c>
    </row>
    <row r="12">
      <c r="B12" s="3" t="inlineStr">
        <is>
          <t>③ 1인당 반입 가능 수량(면세 범위)을 초과하는지 함께 확인</t>
        </is>
      </c>
    </row>
    <row r="13">
      <c r="B13" s="3" t="inlineStr">
        <is>
          <t>④ 건강기능식품·전자기기 체크리스트로 통관 보류·반송 위험이 있는 항목인지 사전 점검</t>
        </is>
      </c>
    </row>
    <row r="15" ht="30" customHeight="1">
      <c r="B15" s="4" t="inlineStr">
        <is>
          <t>주세율·교육세율·1인당 반입 한도는 주종·정책에 따라 달라집니다. 이 계산기는 일반적으로 통용되는 구간 기준의 참고용 도구이며, 실제 통관 전 관세청·국세청 공지로 재확인하세요.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18" customWidth="1" min="4" max="4"/>
  </cols>
  <sheetData>
    <row r="1">
      <c r="A1" s="5" t="inlineStr">
        <is>
          <t>품목별 추가세금 계산기 — 주류</t>
        </is>
      </c>
    </row>
    <row r="3">
      <c r="A3" s="6" t="inlineStr">
        <is>
          <t>① 주종별 세율 참고표 (일반 참고 구간)</t>
        </is>
      </c>
    </row>
    <row r="4">
      <c r="A4" s="7" t="inlineStr">
        <is>
          <t>주종</t>
        </is>
      </c>
      <c r="B4" s="7" t="inlineStr">
        <is>
          <t>주세율(종가세 기준)</t>
        </is>
      </c>
      <c r="C4" s="7" t="inlineStr">
        <is>
          <t>교육세율(주세액 대비)</t>
        </is>
      </c>
      <c r="D4" s="7" t="inlineStr">
        <is>
          <t>1인당 면세 반입 한도</t>
        </is>
      </c>
    </row>
    <row r="5">
      <c r="A5" s="3" t="inlineStr">
        <is>
          <t>위스키·브랜디(증류주)</t>
        </is>
      </c>
      <c r="B5" s="8" t="n">
        <v>0.72</v>
      </c>
      <c r="C5" s="8" t="n">
        <v>0.3</v>
      </c>
      <c r="D5" s="3" t="inlineStr">
        <is>
          <t>1병(1L 이하, 미화 400달러 이하)</t>
        </is>
      </c>
    </row>
    <row r="6">
      <c r="A6" s="3" t="inlineStr">
        <is>
          <t>와인(발효주)</t>
        </is>
      </c>
      <c r="B6" s="8" t="n">
        <v>0.3</v>
      </c>
      <c r="C6" s="8" t="n">
        <v>0.1</v>
      </c>
      <c r="D6" s="3" t="inlineStr">
        <is>
          <t>1병(1L 이하, 미화 400달러 이하)</t>
        </is>
      </c>
    </row>
    <row r="7">
      <c r="A7" s="3" t="inlineStr">
        <is>
          <t>맥주</t>
        </is>
      </c>
      <c r="B7" s="8" t="n">
        <v>0.72</v>
      </c>
      <c r="C7" s="8" t="n">
        <v>0.3</v>
      </c>
      <c r="D7" s="3" t="inlineStr">
        <is>
          <t>1병(1L 이하, 미화 400달러 이하)</t>
        </is>
      </c>
    </row>
    <row r="8">
      <c r="A8" s="3" t="inlineStr">
        <is>
          <t>전통주·약주</t>
        </is>
      </c>
      <c r="B8" s="8" t="n">
        <v>0.3</v>
      </c>
      <c r="C8" s="8" t="n">
        <v>0.1</v>
      </c>
      <c r="D8" s="3" t="inlineStr">
        <is>
          <t>1병(1L 이하, 미화 400달러 이하)</t>
        </is>
      </c>
    </row>
    <row r="10">
      <c r="A10" s="6" t="inlineStr">
        <is>
          <t>② 조건 입력</t>
        </is>
      </c>
    </row>
    <row r="11">
      <c r="A11" s="3" t="inlineStr">
        <is>
          <t>주종 (위 참고표에서 선택)</t>
        </is>
      </c>
      <c r="B11" s="9" t="inlineStr">
        <is>
          <t>위스키·브랜디(증류주)</t>
        </is>
      </c>
    </row>
    <row r="12">
      <c r="A12" s="3" t="inlineStr">
        <is>
          <t>원화 과세가격 ('면세판단_관부가세_계산기'의 ④ 결과값, 원)</t>
        </is>
      </c>
      <c r="B12" s="9" t="n">
        <v>500000</v>
      </c>
    </row>
    <row r="13">
      <c r="A13" s="3" t="inlineStr">
        <is>
          <t>관세 ('면세판단_관부가세_계산기'의 ⑤ 결과값, 원)</t>
        </is>
      </c>
      <c r="B13" s="9" t="n">
        <v>0</v>
      </c>
    </row>
    <row r="14">
      <c r="A14" s="3" t="inlineStr">
        <is>
          <t>반입 수량 (병)</t>
        </is>
      </c>
      <c r="B14" s="9" t="n">
        <v>2</v>
      </c>
    </row>
    <row r="15">
      <c r="A15" s="3" t="n"/>
    </row>
    <row r="16">
      <c r="A16" s="6" t="inlineStr">
        <is>
          <t>③ 계산 결과</t>
        </is>
      </c>
    </row>
    <row r="17">
      <c r="A17" s="3" t="inlineStr">
        <is>
          <t>적용 주세율</t>
        </is>
      </c>
      <c r="B17" s="10">
        <f>VLOOKUP(B11,A5:D8,2,FALSE)</f>
        <v/>
      </c>
    </row>
    <row r="18">
      <c r="A18" s="3" t="inlineStr">
        <is>
          <t>적용 교육세율</t>
        </is>
      </c>
      <c r="B18" s="10">
        <f>VLOOKUP(B11,A5:D8,3,FALSE)</f>
        <v/>
      </c>
    </row>
    <row r="19">
      <c r="A19" s="3" t="inlineStr">
        <is>
          <t>1인당 면세 반입 한도</t>
        </is>
      </c>
      <c r="B19" s="11">
        <f>VLOOKUP(B11,A5:D8,4,FALSE)</f>
        <v/>
      </c>
    </row>
    <row r="20">
      <c r="A20" s="3" t="inlineStr">
        <is>
          <t>반입 한도 초과 여부 (1병 초과분부터 과세)</t>
        </is>
      </c>
      <c r="B20" s="11">
        <f>IF(B14&gt;1,"초과 (초과분 과세 대상)","이내 (면세 범위)")</f>
        <v/>
      </c>
    </row>
    <row r="21">
      <c r="A21" s="3" t="inlineStr">
        <is>
          <t>주세 과세표준 (원화 과세가격 + 관세)</t>
        </is>
      </c>
      <c r="B21" s="12">
        <f>B12+B13</f>
        <v/>
      </c>
    </row>
    <row r="22">
      <c r="A22" s="3" t="inlineStr">
        <is>
          <t>예상 주세 (과세표준 × 주세율)</t>
        </is>
      </c>
      <c r="B22" s="12">
        <f>ROUND(B21*B17,0)</f>
        <v/>
      </c>
    </row>
    <row r="23">
      <c r="A23" s="3" t="inlineStr">
        <is>
          <t>예상 교육세 (주세 × 교육세율)</t>
        </is>
      </c>
      <c r="B23" s="12">
        <f>ROUND(B22*B18,0)</f>
        <v/>
      </c>
    </row>
    <row r="24">
      <c r="A24" s="3" t="inlineStr">
        <is>
          <t>추가 부가세 (주세+교육세 합계의 10%)</t>
        </is>
      </c>
      <c r="B24" s="12">
        <f>ROUND((B22+B23)*0.1,0)</f>
        <v/>
      </c>
    </row>
    <row r="25">
      <c r="A25" s="3" t="inlineStr">
        <is>
          <t>총 추가 세금 (주세+교육세+추가 부가세)</t>
        </is>
      </c>
      <c r="B25" s="12">
        <f>B22+B23+B24</f>
        <v/>
      </c>
    </row>
    <row r="27">
      <c r="A27" s="6" t="inlineStr">
        <is>
          <t>④ 건강기능식품·화장품 통관 체크리스트</t>
        </is>
      </c>
    </row>
    <row r="28">
      <c r="A28" s="7" t="inlineStr">
        <is>
          <t>확인 항목</t>
        </is>
      </c>
      <c r="B28" s="7" t="inlineStr">
        <is>
          <t>체크(Y/N)</t>
        </is>
      </c>
      <c r="C28" s="7" t="inlineStr">
        <is>
          <t>비고</t>
        </is>
      </c>
    </row>
    <row r="29">
      <c r="A29" s="3" t="inlineStr">
        <is>
          <t>식약처 신고대상 원료/성분(펜타닐 유사물질, 동물성 원료 등) 포함 여부</t>
        </is>
      </c>
      <c r="B29" s="9" t="inlineStr"/>
      <c r="C29" s="13" t="inlineStr">
        <is>
          <t>포함 시 통관 보류·반송 가능</t>
        </is>
      </c>
    </row>
    <row r="30">
      <c r="A30" s="3" t="inlineStr">
        <is>
          <t>의약품 성분(처방전 필요 성분) 포함 여부</t>
        </is>
      </c>
      <c r="B30" s="9" t="inlineStr"/>
      <c r="C30" s="13" t="inlineStr">
        <is>
          <t>국내 반입 자체가 제한될 수 있음</t>
        </is>
      </c>
    </row>
    <row r="31">
      <c r="A31" s="3" t="inlineStr">
        <is>
          <t>1인당 자가사용 인정 수량(통상 6병 이내, 품목별 상이) 이내인지</t>
        </is>
      </c>
      <c r="B31" s="9" t="inlineStr"/>
      <c r="C31" s="13" t="inlineStr">
        <is>
          <t>초과 시 수입신고 전환 가능성</t>
        </is>
      </c>
    </row>
    <row r="32">
      <c r="A32" s="3" t="inlineStr">
        <is>
          <t>한글 성분표시 없는 병행수입/구매대행 상품 여부</t>
        </is>
      </c>
      <c r="B32" s="9" t="inlineStr"/>
      <c r="C32" s="13" t="inlineStr">
        <is>
          <t>통관 지연 사례 많음</t>
        </is>
      </c>
    </row>
    <row r="34">
      <c r="A34" s="6" t="inlineStr">
        <is>
          <t>⑤ 전자기기 통관 체크리스트</t>
        </is>
      </c>
    </row>
    <row r="35">
      <c r="A35" s="7" t="inlineStr">
        <is>
          <t>확인 항목</t>
        </is>
      </c>
      <c r="B35" s="7" t="inlineStr">
        <is>
          <t>체크(Y/N)</t>
        </is>
      </c>
      <c r="C35" s="7" t="inlineStr">
        <is>
          <t>비고</t>
        </is>
      </c>
    </row>
    <row r="36">
      <c r="A36" s="3" t="inlineStr">
        <is>
          <t>무선기능(블루투스·와이파이·무선충전) 포함 여부</t>
        </is>
      </c>
      <c r="B36" s="9" t="inlineStr"/>
      <c r="C36" s="13" t="inlineStr">
        <is>
          <t>전파인증(KC) 대상 가능성</t>
        </is>
      </c>
    </row>
    <row r="37">
      <c r="A37" s="3" t="inlineStr">
        <is>
          <t>자가사용 목적 1인 1대 이내인지</t>
        </is>
      </c>
      <c r="B37" s="9" t="inlineStr"/>
      <c r="C37" s="13" t="inlineStr">
        <is>
          <t>초과 시 전파인증 없이는 통관 제한</t>
        </is>
      </c>
    </row>
    <row r="38">
      <c r="A38" s="3" t="inlineStr">
        <is>
          <t>배터리 내장 제품의 국제배송 규정(리튬배터리 Wh 한도) 확인</t>
        </is>
      </c>
      <c r="B38" s="9" t="inlineStr"/>
      <c r="C38" s="13" t="inlineStr">
        <is>
          <t>항공 운송 제한 품목일 수 있음</t>
        </is>
      </c>
    </row>
    <row r="39">
      <c r="A39" s="3" t="inlineStr">
        <is>
          <t>국내 전압(220V)·플러그 규격 호환 여부</t>
        </is>
      </c>
      <c r="B39" s="9" t="inlineStr"/>
      <c r="C39" s="13" t="inlineStr">
        <is>
          <t>별도 변환 어댑터 필요 가능</t>
        </is>
      </c>
    </row>
    <row r="41">
      <c r="A41" s="6" t="inlineStr">
        <is>
          <t>참고</t>
        </is>
      </c>
    </row>
    <row r="42" ht="30" customHeight="1">
      <c r="A42" s="4" t="inlineStr">
        <is>
          <t>주세율·교육세율·반입 한도·전파인증 규정은 주종·정책에 따라 달라지고 자주 바뀝니다. 실제 의뢰 전 관세청 유니패스·식약처·국립전파연구원 공지로 반드시 재확인하세요.</t>
        </is>
      </c>
    </row>
  </sheetData>
  <mergeCells count="11">
    <mergeCell ref="C32:D32"/>
    <mergeCell ref="C29:D29"/>
    <mergeCell ref="C30:D30"/>
    <mergeCell ref="C38:D38"/>
    <mergeCell ref="C37:D37"/>
    <mergeCell ref="C36:D36"/>
    <mergeCell ref="C28:D28"/>
    <mergeCell ref="C31:D31"/>
    <mergeCell ref="A42:D42"/>
    <mergeCell ref="C39:D39"/>
    <mergeCell ref="C35:D35"/>
  </mergeCells>
  <dataValidations count="1">
    <dataValidation sqref="B11" showDropDown="0" showInputMessage="0" showErrorMessage="0" allowBlank="0" type="list">
      <formula1>=$A$5:$A$8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2026-10-07T21:25:56Z</dcterms:created>
  <dcterms:modified xmlns:dcterms="http://purl.org/dc/terms/" xmlns:xsi="http://www.w3.org/2001/XMLSchema-instance" xsi:type="dcterms:W3CDTF">2026-10-07T21:25:56Z</dcterms:modified>
</cp:coreProperties>
</file>