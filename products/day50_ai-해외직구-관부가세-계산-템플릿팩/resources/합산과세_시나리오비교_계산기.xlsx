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"/>
  </numFmts>
  <fonts count="8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</font>
    <font>
      <color rgb="00262C3D"/>
    </font>
    <font>
      <color rgb="00565F72"/>
      <sz val="10"/>
    </font>
    <font>
      <b val="1"/>
      <color rgb="00262C3D"/>
      <sz val="13"/>
    </font>
    <font>
      <b val="1"/>
      <color rgb="00262C3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10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합산과세 판단 · 면세 한도 시나리오 비교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결제를 여러 번 나눠도 항상 면세가 되는 건 아닙니다. 같은 날 같은 판매자에게 주문한 건은 금액을 합산해</t>
        </is>
      </c>
    </row>
    <row r="6">
      <c r="B6" s="3" t="inlineStr">
        <is>
          <t>면세 기준 초과 여부를 판단하는 '합산과세' 규정이 적용됩니다. 이 계산기는 합산 여부 판단 + 면세 한도 근처</t>
        </is>
      </c>
    </row>
    <row r="7">
      <c r="B7" s="3" t="inlineStr">
        <is>
          <t>가격대별 관부가세 비교까지 함께 확인하는 도구입니다. (기준: 2026년 10월 확인)</t>
        </is>
      </c>
    </row>
    <row r="9">
      <c r="B9" s="2" t="inlineStr">
        <is>
          <t>사용법</t>
        </is>
      </c>
    </row>
    <row r="10">
      <c r="B10" s="3" t="inlineStr">
        <is>
          <t>① '계산기' 시트 1번 표에 같은 판매자 여부·두 건의 구매일자·금액을 입력 → 합산 대상 여부 자동 판정</t>
        </is>
      </c>
    </row>
    <row r="11">
      <c r="B11" s="3" t="inlineStr">
        <is>
          <t>② 2번 표에 품목 관세율·과세환율·면세 기준을 입력 → 한도 내/소폭 초과/대폭 초과 세 시나리오의 관부가세·실질단가 자동 비교</t>
        </is>
      </c>
    </row>
    <row r="12">
      <c r="B12" s="3" t="inlineStr">
        <is>
          <t>③ '면세판단_관부가세_계산기.xlsx'로 실제 주문 건의 정확한 관부가세를 다시 계산해 교차 확인</t>
        </is>
      </c>
    </row>
    <row r="14" ht="30" customHeight="1">
      <c r="B14" s="4" t="inlineStr">
        <is>
          <t>합산과세는 세관의 개별 판단이 더해질 수 있는 규정입니다. 애매한 경우는 관세청 유니패스로 재확인하세요.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4" customWidth="1" min="4" max="4"/>
  </cols>
  <sheetData>
    <row r="1">
      <c r="A1" s="5" t="inlineStr">
        <is>
          <t>합산과세 판단 · 면세 한도 시나리오 비교 계산기</t>
        </is>
      </c>
    </row>
    <row r="3">
      <c r="A3" s="6" t="inlineStr">
        <is>
          <t>① 합산과세 판단</t>
        </is>
      </c>
    </row>
    <row r="4">
      <c r="A4" s="7" t="inlineStr">
        <is>
          <t>항목</t>
        </is>
      </c>
      <c r="B4" s="7" t="inlineStr">
        <is>
          <t>주문 1</t>
        </is>
      </c>
      <c r="C4" s="7" t="inlineStr">
        <is>
          <t>주문 2</t>
        </is>
      </c>
    </row>
    <row r="5">
      <c r="A5" s="3" t="inlineStr">
        <is>
          <t>판매자명</t>
        </is>
      </c>
      <c r="B5" s="8" t="inlineStr">
        <is>
          <t>A쇼핑몰</t>
        </is>
      </c>
      <c r="C5" s="8" t="inlineStr">
        <is>
          <t>A쇼핑몰</t>
        </is>
      </c>
    </row>
    <row r="6">
      <c r="A6" s="3" t="inlineStr">
        <is>
          <t>구매(결제)일자</t>
        </is>
      </c>
      <c r="B6" s="8" t="inlineStr">
        <is>
          <t>2026-10-05</t>
        </is>
      </c>
      <c r="C6" s="8" t="inlineStr">
        <is>
          <t>2026-10-05</t>
        </is>
      </c>
    </row>
    <row r="7">
      <c r="A7" s="3" t="inlineStr">
        <is>
          <t>금액 (달러)</t>
        </is>
      </c>
      <c r="B7" s="9" t="n">
        <v>110</v>
      </c>
      <c r="C7" s="9" t="n">
        <v>95</v>
      </c>
    </row>
    <row r="8">
      <c r="A8" s="3" t="inlineStr">
        <is>
          <t>발송 국가 (미국/그 외, 공통)</t>
        </is>
      </c>
      <c r="B8" s="8" t="inlineStr">
        <is>
          <t>그 외</t>
        </is>
      </c>
    </row>
    <row r="10">
      <c r="A10" s="3" t="inlineStr">
        <is>
          <t>판매자 동일 여부</t>
        </is>
      </c>
      <c r="B10" s="10">
        <f>IF(B5=C5,"동일","다름")</f>
        <v/>
      </c>
    </row>
    <row r="11">
      <c r="A11" s="3" t="inlineStr">
        <is>
          <t>구매일자 동일 여부</t>
        </is>
      </c>
      <c r="B11" s="10">
        <f>IF(B6=C6,"동일","다름")</f>
        <v/>
      </c>
    </row>
    <row r="12">
      <c r="A12" s="3" t="inlineStr">
        <is>
          <t>합산과세 대상 여부</t>
        </is>
      </c>
      <c r="B12" s="10">
        <f>IF(AND(B10="동일",B11="동일"),"합산 대상 (두 금액을 더해 면세 기준 판단)","합산 대상 아님 (각각 별도 판단)")</f>
        <v/>
      </c>
    </row>
    <row r="13">
      <c r="A13" s="3" t="inlineStr">
        <is>
          <t>적용 면세 기준 (달러)</t>
        </is>
      </c>
      <c r="B13" s="10">
        <f>IF(B8="미국",200,150)</f>
        <v/>
      </c>
    </row>
    <row r="14">
      <c r="A14" s="3" t="inlineStr">
        <is>
          <t>판단 기준 금액 (합산 대상이면 합계, 아니면 각 건 중 최대값)</t>
        </is>
      </c>
      <c r="B14" s="11">
        <f>IF(B12="합산 대상 (두 금액을 더해 면세 기준 판단)",B7+C7,MAX(B7,C7))</f>
        <v/>
      </c>
    </row>
    <row r="15">
      <c r="A15" s="3" t="inlineStr">
        <is>
          <t>면세 기준 초과 여부</t>
        </is>
      </c>
      <c r="B15" s="10">
        <f>IF(B14&gt;B13,"초과 (과세 대상)","이내 (면세 가능)")</f>
        <v/>
      </c>
    </row>
    <row r="17">
      <c r="A17" s="6" t="inlineStr">
        <is>
          <t>② 면세 한도 시나리오 비교 (한도 내 / 소폭 초과 / 대폭 초과)</t>
        </is>
      </c>
    </row>
    <row r="18">
      <c r="A18" s="3" t="inlineStr">
        <is>
          <t>공통 입력 — 발송 국가</t>
        </is>
      </c>
      <c r="B18" s="8" t="inlineStr">
        <is>
          <t>미국</t>
        </is>
      </c>
    </row>
    <row r="19">
      <c r="A19" s="3" t="inlineStr">
        <is>
          <t>공통 입력 — 품목 관세율 (%)</t>
        </is>
      </c>
      <c r="B19" s="12" t="n">
        <v>0.13</v>
      </c>
    </row>
    <row r="20">
      <c r="A20" s="3" t="inlineStr">
        <is>
          <t>공통 입력 — 관세청 과세환율 (원/달러)</t>
        </is>
      </c>
      <c r="B20" s="8" t="n">
        <v>1380</v>
      </c>
    </row>
    <row r="21">
      <c r="A21" s="3" t="inlineStr">
        <is>
          <t>면세 기준 (국가 자동 반영, 달러)</t>
        </is>
      </c>
      <c r="B21" s="10">
        <f>IF(B18="미국",200,150)</f>
        <v/>
      </c>
    </row>
    <row r="23">
      <c r="A23" s="7" t="inlineStr">
        <is>
          <t>시나리오</t>
        </is>
      </c>
      <c r="B23" s="7" t="inlineStr">
        <is>
          <t>물품가격(달러)</t>
        </is>
      </c>
      <c r="C23" s="7" t="inlineStr">
        <is>
          <t>기준 대비 차액</t>
        </is>
      </c>
      <c r="D23" s="7" t="inlineStr">
        <is>
          <t>예상 관부가세(원)</t>
        </is>
      </c>
    </row>
    <row r="24">
      <c r="A24" s="3" t="inlineStr">
        <is>
          <t>한도 내 (기준 -10달러)</t>
        </is>
      </c>
      <c r="B24" s="13">
        <f>$B$21-10</f>
        <v/>
      </c>
      <c r="C24" s="14">
        <f>B24-$B$21</f>
        <v/>
      </c>
      <c r="D24" s="13">
        <f>IF(B24&lt;=$B$21,0,ROUND(B24*$B$20*$B$19,0)+ROUND((B24*$B$20+ROUND(B24*$B$20*$B$19,0))*0.1,0))</f>
        <v/>
      </c>
    </row>
    <row r="25">
      <c r="A25" s="3" t="inlineStr">
        <is>
          <t>소폭 초과 (기준 +10달러)</t>
        </is>
      </c>
      <c r="B25" s="13">
        <f>$B$21+10</f>
        <v/>
      </c>
      <c r="C25" s="14">
        <f>B25-$B$21</f>
        <v/>
      </c>
      <c r="D25" s="13">
        <f>IF(B25&lt;=$B$21,0,ROUND(B25*$B$20*$B$19,0)+ROUND((B25*$B$20+ROUND(B25*$B$20*$B$19,0))*0.1,0))</f>
        <v/>
      </c>
    </row>
    <row r="26">
      <c r="A26" s="3" t="inlineStr">
        <is>
          <t>대폭 초과 (기준 +100달러)</t>
        </is>
      </c>
      <c r="B26" s="13">
        <f>$B$21+100</f>
        <v/>
      </c>
      <c r="C26" s="14">
        <f>B26-$B$21</f>
        <v/>
      </c>
      <c r="D26" s="13">
        <f>IF(B26&lt;=$B$21,0,ROUND(B26*$B$20*$B$19,0)+ROUND((B26*$B$20+ROUND(B26*$B$20*$B$19,0))*0.1,0))</f>
        <v/>
      </c>
    </row>
    <row r="28">
      <c r="A28" s="7" t="inlineStr">
        <is>
          <t>시나리오</t>
        </is>
      </c>
      <c r="B28" s="7" t="inlineStr">
        <is>
          <t>물품가격(원화환산)</t>
        </is>
      </c>
      <c r="C28" s="7" t="inlineStr">
        <is>
          <t>관부가세(원)</t>
        </is>
      </c>
      <c r="D28" s="7" t="inlineStr">
        <is>
          <t>실질 총단가(원)</t>
        </is>
      </c>
    </row>
    <row r="29">
      <c r="A29" s="3">
        <f>A24</f>
        <v/>
      </c>
      <c r="B29" s="15">
        <f>ROUND(B24*$B$20,0)</f>
        <v/>
      </c>
      <c r="C29" s="15">
        <f>D24</f>
        <v/>
      </c>
      <c r="D29" s="15">
        <f>B29+C29</f>
        <v/>
      </c>
    </row>
    <row r="30">
      <c r="A30" s="3">
        <f>A25</f>
        <v/>
      </c>
      <c r="B30" s="15">
        <f>ROUND(B25*$B$20,0)</f>
        <v/>
      </c>
      <c r="C30" s="15">
        <f>D25</f>
        <v/>
      </c>
      <c r="D30" s="15">
        <f>B30+C30</f>
        <v/>
      </c>
    </row>
    <row r="31">
      <c r="A31" s="3">
        <f>A26</f>
        <v/>
      </c>
      <c r="B31" s="15">
        <f>ROUND(B26*$B$20,0)</f>
        <v/>
      </c>
      <c r="C31" s="15">
        <f>D26</f>
        <v/>
      </c>
      <c r="D31" s="15">
        <f>B31+C31</f>
        <v/>
      </c>
    </row>
    <row r="33">
      <c r="A33" s="6" t="inlineStr">
        <is>
          <t>참고</t>
        </is>
      </c>
    </row>
    <row r="34" ht="30" customHeight="1">
      <c r="A34" s="4" t="inlineStr">
        <is>
          <t>면세 기준을 '1달러라도 넘으면 전체 금액이 과세'되는 구조 때문에, 기준 바로 위 가격대(소폭 초과)는 실질 총단가가 급격히 뛰는 구간입니다. 의뢰인에게 설명할 때 이 구조를 반드시 함께 안내하세요.</t>
        </is>
      </c>
    </row>
  </sheetData>
  <mergeCells count="1">
    <mergeCell ref="A34:D34"/>
  </mergeCells>
  <dataValidations count="2">
    <dataValidation sqref="B8" showDropDown="0" showInputMessage="0" showErrorMessage="0" allowBlank="0" type="list">
      <formula1>"미국,그 외"</formula1>
    </dataValidation>
    <dataValidation sqref="B18" showDropDown="0" showInputMessage="0" showErrorMessage="0" allowBlank="0" type="list">
      <formula1>"미국,그 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2026-10-07T21:24:53Z</dcterms:created>
  <dcterms:modified xmlns:dcterms="http://purl.org/dc/terms/" xmlns:xsi="http://www.w3.org/2001/XMLSchema-instance" xsi:type="dcterms:W3CDTF">2026-10-07T21:24:53Z</dcterms:modified>
</cp:coreProperties>
</file>